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phan.van.beeck\Desktop\Bob Wedstrijd schema\"/>
    </mc:Choice>
  </mc:AlternateContent>
  <bookViews>
    <workbookView xWindow="0" yWindow="0" windowWidth="13120" windowHeight="12480" activeTab="4"/>
  </bookViews>
  <sheets>
    <sheet name="Intro" sheetId="28" r:id="rId1"/>
    <sheet name="Plot-sample" sheetId="31" r:id="rId2"/>
    <sheet name="P-20200625-3" sheetId="34" r:id="rId3"/>
    <sheet name="P-20210105-1" sheetId="35" r:id="rId4"/>
    <sheet name="P-20210105-2" sheetId="36" r:id="rId5"/>
    <sheet name="Input" sheetId="22" r:id="rId6"/>
    <sheet name="Clocklist" sheetId="18" r:id="rId7"/>
  </sheets>
  <functionGroups builtInGroupCount="18"/>
  <definedNames>
    <definedName name="_xlnm._FilterDatabase" localSheetId="5" hidden="1">Input!$A$1:$I$32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8" l="1"/>
  <c r="D5" i="18"/>
  <c r="E4" i="18" l="1"/>
  <c r="D4" i="18" l="1"/>
  <c r="E3" i="18"/>
  <c r="D3" i="18"/>
  <c r="D7" i="18" l="1"/>
  <c r="E7" i="18"/>
  <c r="D8" i="18" l="1"/>
  <c r="E8" i="18"/>
  <c r="E6" i="18"/>
  <c r="D6" i="18"/>
  <c r="E9" i="18" l="1"/>
  <c r="D9" i="18"/>
  <c r="B11" i="18" l="1"/>
  <c r="E10" i="18"/>
  <c r="D10" i="18"/>
  <c r="D11" i="18" l="1"/>
  <c r="E11" i="18"/>
  <c r="E12" i="18" l="1"/>
  <c r="D12" i="18"/>
  <c r="D13" i="18" l="1"/>
  <c r="E13" i="18"/>
  <c r="E14" i="18" l="1"/>
  <c r="D14" i="18"/>
  <c r="E2" i="18" l="1"/>
  <c r="D2" i="18"/>
</calcChain>
</file>

<file path=xl/sharedStrings.xml><?xml version="1.0" encoding="utf-8"?>
<sst xmlns="http://schemas.openxmlformats.org/spreadsheetml/2006/main" count="176" uniqueCount="52">
  <si>
    <t>l</t>
  </si>
  <si>
    <t>x</t>
  </si>
  <si>
    <t>y</t>
  </si>
  <si>
    <t>uur</t>
  </si>
  <si>
    <t>Date</t>
  </si>
  <si>
    <t>Wind</t>
  </si>
  <si>
    <t>Club</t>
  </si>
  <si>
    <t>Ball-Fligth</t>
  </si>
  <si>
    <t>Place</t>
  </si>
  <si>
    <t>Fairway</t>
  </si>
  <si>
    <t>Green</t>
  </si>
  <si>
    <t>Bunker</t>
  </si>
  <si>
    <t>Rough</t>
  </si>
  <si>
    <t>Oppostie</t>
  </si>
  <si>
    <t>Rigth-Side</t>
  </si>
  <si>
    <t>Left-Side</t>
  </si>
  <si>
    <t>Back</t>
  </si>
  <si>
    <t>Driver</t>
  </si>
  <si>
    <t>2-Wood</t>
  </si>
  <si>
    <t>3-Wood</t>
  </si>
  <si>
    <t>5-Wood</t>
  </si>
  <si>
    <t>2-Iron</t>
  </si>
  <si>
    <t>3-Iron</t>
  </si>
  <si>
    <t>4-Iron</t>
  </si>
  <si>
    <t>5-Iron</t>
  </si>
  <si>
    <t>6-Iron</t>
  </si>
  <si>
    <t>7-Iron</t>
  </si>
  <si>
    <t>8-Iron</t>
  </si>
  <si>
    <t>9-Iron</t>
  </si>
  <si>
    <t>10-Iron</t>
  </si>
  <si>
    <t>52-Wedge</t>
  </si>
  <si>
    <t>56-Wedge</t>
  </si>
  <si>
    <t>58-Wedge</t>
  </si>
  <si>
    <t>60-Wedge</t>
  </si>
  <si>
    <t>Putter</t>
  </si>
  <si>
    <t>Fade</t>
  </si>
  <si>
    <t>Draw</t>
  </si>
  <si>
    <t>Length (m)</t>
  </si>
  <si>
    <t>Pitchmark(f)</t>
  </si>
  <si>
    <t>54-Wedge</t>
  </si>
  <si>
    <t>Stock</t>
  </si>
  <si>
    <t>DirectionToHole(hours)</t>
  </si>
  <si>
    <t>Free</t>
  </si>
  <si>
    <t>Steps</t>
  </si>
  <si>
    <t xml:space="preserve">Record approach line distance in meters </t>
  </si>
  <si>
    <t>Record pitchmark in ref with approach line + hours like sample</t>
  </si>
  <si>
    <t>Set filter off</t>
  </si>
  <si>
    <t>set filter to suit your analyses</t>
  </si>
  <si>
    <t>press plot button</t>
  </si>
  <si>
    <t>enter your recordings in the input sheet</t>
  </si>
  <si>
    <t>copy last line to enter your recordings of input sheet</t>
  </si>
  <si>
    <t>Golfstatistics by Stephan van Beeck v0.1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</si>
</sst>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1</xdr:row>
      <xdr:rowOff>22130</xdr:rowOff>
    </xdr:from>
    <xdr:to>
      <xdr:col>17</xdr:col>
      <xdr:colOff>190500</xdr:colOff>
      <xdr:row>35</xdr:row>
      <xdr:rowOff>94299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212630"/>
          <a:ext cx="10201275" cy="6549169"/>
        </a:xfrm>
        <a:prstGeom prst="rect">
          <a:avLst/>
        </a:prstGeom>
      </xdr:spPr>
    </xdr:pic>
    <xdr:clientData/>
  </xdr:twoCellAnchor>
  <xdr:twoCellAnchor editAs="oneCell">
    <xdr:from>
      <xdr:col>23</xdr:col>
      <xdr:colOff>200025</xdr:colOff>
      <xdr:row>10</xdr:row>
      <xdr:rowOff>171450</xdr:rowOff>
    </xdr:from>
    <xdr:to>
      <xdr:col>29</xdr:col>
      <xdr:colOff>179805</xdr:colOff>
      <xdr:row>23</xdr:row>
      <xdr:rowOff>180664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1147"/>
        <a:stretch/>
      </xdr:blipFill>
      <xdr:spPr>
        <a:xfrm>
          <a:off x="14220825" y="2076450"/>
          <a:ext cx="3637380" cy="2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21</xdr:col>
      <xdr:colOff>25400</xdr:colOff>
      <xdr:row>67</xdr:row>
      <xdr:rowOff>63500</xdr:rowOff>
    </xdr:to>
    <xdr:sp macro="" textlink="">
      <xdr:nvSpPr>
        <xdr:cNvPr id="2" name="Green"/>
        <xdr:cNvSpPr/>
      </xdr:nvSpPr>
      <xdr:spPr>
        <a:xfrm>
          <a:off x="127000" y="127000"/>
          <a:ext cx="12700000" cy="12700000"/>
        </a:xfrm>
        <a:prstGeom prst="ellipse">
          <a:avLst/>
        </a:prstGeom>
        <a:solidFill>
          <a:srgbClr val="00BE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254000</xdr:colOff>
      <xdr:row>33</xdr:row>
      <xdr:rowOff>63500</xdr:rowOff>
    </xdr:from>
    <xdr:to>
      <xdr:col>10</xdr:col>
      <xdr:colOff>508000</xdr:colOff>
      <xdr:row>34</xdr:row>
      <xdr:rowOff>127000</xdr:rowOff>
    </xdr:to>
    <xdr:sp macro="" textlink="">
      <xdr:nvSpPr>
        <xdr:cNvPr id="3" name="Hole"/>
        <xdr:cNvSpPr/>
      </xdr:nvSpPr>
      <xdr:spPr>
        <a:xfrm>
          <a:off x="6350000" y="6350000"/>
          <a:ext cx="254000" cy="254000"/>
        </a:xfrm>
        <a:prstGeom prst="ellipse">
          <a:avLst/>
        </a:pr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177800</xdr:colOff>
      <xdr:row>7</xdr:row>
      <xdr:rowOff>63500</xdr:rowOff>
    </xdr:from>
    <xdr:to>
      <xdr:col>18</xdr:col>
      <xdr:colOff>584200</xdr:colOff>
      <xdr:row>60</xdr:row>
      <xdr:rowOff>127000</xdr:rowOff>
    </xdr:to>
    <xdr:sp macro="" textlink="">
      <xdr:nvSpPr>
        <xdr:cNvPr id="4" name="80pLine"/>
        <xdr:cNvSpPr/>
      </xdr:nvSpPr>
      <xdr:spPr>
        <a:xfrm>
          <a:off x="1397000" y="1397000"/>
          <a:ext cx="10160000" cy="1016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228600</xdr:colOff>
      <xdr:row>14</xdr:row>
      <xdr:rowOff>0</xdr:rowOff>
    </xdr:from>
    <xdr:to>
      <xdr:col>16</xdr:col>
      <xdr:colOff>533400</xdr:colOff>
      <xdr:row>54</xdr:row>
      <xdr:rowOff>0</xdr:rowOff>
    </xdr:to>
    <xdr:sp macro="" textlink="">
      <xdr:nvSpPr>
        <xdr:cNvPr id="5" name="60pLine"/>
        <xdr:cNvSpPr/>
      </xdr:nvSpPr>
      <xdr:spPr>
        <a:xfrm>
          <a:off x="2667000" y="2667000"/>
          <a:ext cx="7620000" cy="762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279400</xdr:colOff>
      <xdr:row>20</xdr:row>
      <xdr:rowOff>127000</xdr:rowOff>
    </xdr:from>
    <xdr:to>
      <xdr:col>14</xdr:col>
      <xdr:colOff>482600</xdr:colOff>
      <xdr:row>47</xdr:row>
      <xdr:rowOff>63500</xdr:rowOff>
    </xdr:to>
    <xdr:sp macro="" textlink="">
      <xdr:nvSpPr>
        <xdr:cNvPr id="6" name="40pLine"/>
        <xdr:cNvSpPr/>
      </xdr:nvSpPr>
      <xdr:spPr>
        <a:xfrm>
          <a:off x="3937000" y="3937000"/>
          <a:ext cx="5080000" cy="508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330200</xdr:colOff>
      <xdr:row>27</xdr:row>
      <xdr:rowOff>63500</xdr:rowOff>
    </xdr:from>
    <xdr:to>
      <xdr:col>12</xdr:col>
      <xdr:colOff>431800</xdr:colOff>
      <xdr:row>40</xdr:row>
      <xdr:rowOff>127000</xdr:rowOff>
    </xdr:to>
    <xdr:sp macro="" textlink="">
      <xdr:nvSpPr>
        <xdr:cNvPr id="7" name="20pLine"/>
        <xdr:cNvSpPr/>
      </xdr:nvSpPr>
      <xdr:spPr>
        <a:xfrm>
          <a:off x="5207000" y="5207000"/>
          <a:ext cx="2540000" cy="254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241300</xdr:colOff>
      <xdr:row>44</xdr:row>
      <xdr:rowOff>12700</xdr:rowOff>
    </xdr:from>
    <xdr:to>
      <xdr:col>12</xdr:col>
      <xdr:colOff>368300</xdr:colOff>
      <xdr:row>44</xdr:row>
      <xdr:rowOff>139700</xdr:rowOff>
    </xdr:to>
    <xdr:sp macro="" textlink="">
      <xdr:nvSpPr>
        <xdr:cNvPr id="8" name="Ball_One"/>
        <xdr:cNvSpPr/>
      </xdr:nvSpPr>
      <xdr:spPr>
        <a:xfrm>
          <a:off x="7556500" y="83947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21</xdr:col>
      <xdr:colOff>25400</xdr:colOff>
      <xdr:row>70</xdr:row>
      <xdr:rowOff>25400</xdr:rowOff>
    </xdr:to>
    <xdr:sp macro="" textlink="">
      <xdr:nvSpPr>
        <xdr:cNvPr id="2" name="Green"/>
        <xdr:cNvSpPr/>
      </xdr:nvSpPr>
      <xdr:spPr>
        <a:xfrm>
          <a:off x="127000" y="127000"/>
          <a:ext cx="12700000" cy="12700000"/>
        </a:xfrm>
        <a:prstGeom prst="ellipse">
          <a:avLst/>
        </a:prstGeom>
        <a:solidFill>
          <a:srgbClr val="00BE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254000</xdr:colOff>
      <xdr:row>34</xdr:row>
      <xdr:rowOff>132080</xdr:rowOff>
    </xdr:from>
    <xdr:to>
      <xdr:col>10</xdr:col>
      <xdr:colOff>508000</xdr:colOff>
      <xdr:row>36</xdr:row>
      <xdr:rowOff>20320</xdr:rowOff>
    </xdr:to>
    <xdr:sp macro="" textlink="">
      <xdr:nvSpPr>
        <xdr:cNvPr id="3" name="Hole"/>
        <xdr:cNvSpPr/>
      </xdr:nvSpPr>
      <xdr:spPr>
        <a:xfrm>
          <a:off x="6350000" y="6350000"/>
          <a:ext cx="254000" cy="254000"/>
        </a:xfrm>
        <a:prstGeom prst="ellipse">
          <a:avLst/>
        </a:pr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177800</xdr:colOff>
      <xdr:row>7</xdr:row>
      <xdr:rowOff>116840</xdr:rowOff>
    </xdr:from>
    <xdr:to>
      <xdr:col>18</xdr:col>
      <xdr:colOff>584200</xdr:colOff>
      <xdr:row>63</xdr:row>
      <xdr:rowOff>35560</xdr:rowOff>
    </xdr:to>
    <xdr:sp macro="" textlink="">
      <xdr:nvSpPr>
        <xdr:cNvPr id="4" name="80pLine"/>
        <xdr:cNvSpPr/>
      </xdr:nvSpPr>
      <xdr:spPr>
        <a:xfrm>
          <a:off x="1397000" y="1397000"/>
          <a:ext cx="10160000" cy="1016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228600</xdr:colOff>
      <xdr:row>14</xdr:row>
      <xdr:rowOff>106680</xdr:rowOff>
    </xdr:from>
    <xdr:to>
      <xdr:col>16</xdr:col>
      <xdr:colOff>533400</xdr:colOff>
      <xdr:row>56</xdr:row>
      <xdr:rowOff>45720</xdr:rowOff>
    </xdr:to>
    <xdr:sp macro="" textlink="">
      <xdr:nvSpPr>
        <xdr:cNvPr id="5" name="60pLine"/>
        <xdr:cNvSpPr/>
      </xdr:nvSpPr>
      <xdr:spPr>
        <a:xfrm>
          <a:off x="2667000" y="2667000"/>
          <a:ext cx="7620000" cy="762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279400</xdr:colOff>
      <xdr:row>21</xdr:row>
      <xdr:rowOff>96520</xdr:rowOff>
    </xdr:from>
    <xdr:to>
      <xdr:col>14</xdr:col>
      <xdr:colOff>482600</xdr:colOff>
      <xdr:row>49</xdr:row>
      <xdr:rowOff>55880</xdr:rowOff>
    </xdr:to>
    <xdr:sp macro="" textlink="">
      <xdr:nvSpPr>
        <xdr:cNvPr id="6" name="40pLine"/>
        <xdr:cNvSpPr/>
      </xdr:nvSpPr>
      <xdr:spPr>
        <a:xfrm>
          <a:off x="3937000" y="3937000"/>
          <a:ext cx="5080000" cy="508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330200</xdr:colOff>
      <xdr:row>28</xdr:row>
      <xdr:rowOff>86360</xdr:rowOff>
    </xdr:from>
    <xdr:to>
      <xdr:col>12</xdr:col>
      <xdr:colOff>431800</xdr:colOff>
      <xdr:row>42</xdr:row>
      <xdr:rowOff>66040</xdr:rowOff>
    </xdr:to>
    <xdr:sp macro="" textlink="">
      <xdr:nvSpPr>
        <xdr:cNvPr id="7" name="20pLine"/>
        <xdr:cNvSpPr/>
      </xdr:nvSpPr>
      <xdr:spPr>
        <a:xfrm>
          <a:off x="5207000" y="5207000"/>
          <a:ext cx="2540000" cy="254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254000</xdr:colOff>
      <xdr:row>33</xdr:row>
      <xdr:rowOff>60960</xdr:rowOff>
    </xdr:from>
    <xdr:to>
      <xdr:col>11</xdr:col>
      <xdr:colOff>381000</xdr:colOff>
      <xdr:row>34</xdr:row>
      <xdr:rowOff>5080</xdr:rowOff>
    </xdr:to>
    <xdr:sp macro="" textlink="">
      <xdr:nvSpPr>
        <xdr:cNvPr id="8" name="Ball_One"/>
        <xdr:cNvSpPr/>
      </xdr:nvSpPr>
      <xdr:spPr>
        <a:xfrm>
          <a:off x="6959600" y="60960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114300</xdr:colOff>
      <xdr:row>35</xdr:row>
      <xdr:rowOff>12700</xdr:rowOff>
    </xdr:from>
    <xdr:to>
      <xdr:col>12</xdr:col>
      <xdr:colOff>241300</xdr:colOff>
      <xdr:row>35</xdr:row>
      <xdr:rowOff>139700</xdr:rowOff>
    </xdr:to>
    <xdr:sp macro="" textlink="">
      <xdr:nvSpPr>
        <xdr:cNvPr id="9" name="Ball_One"/>
        <xdr:cNvSpPr/>
      </xdr:nvSpPr>
      <xdr:spPr>
        <a:xfrm>
          <a:off x="7429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342900</xdr:colOff>
      <xdr:row>41</xdr:row>
      <xdr:rowOff>20320</xdr:rowOff>
    </xdr:from>
    <xdr:to>
      <xdr:col>11</xdr:col>
      <xdr:colOff>469900</xdr:colOff>
      <xdr:row>41</xdr:row>
      <xdr:rowOff>147320</xdr:rowOff>
    </xdr:to>
    <xdr:sp macro="" textlink="">
      <xdr:nvSpPr>
        <xdr:cNvPr id="10" name="Ball_One"/>
        <xdr:cNvSpPr/>
      </xdr:nvSpPr>
      <xdr:spPr>
        <a:xfrm>
          <a:off x="7048500" y="75184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317500</xdr:colOff>
      <xdr:row>38</xdr:row>
      <xdr:rowOff>99060</xdr:rowOff>
    </xdr:from>
    <xdr:to>
      <xdr:col>10</xdr:col>
      <xdr:colOff>444500</xdr:colOff>
      <xdr:row>39</xdr:row>
      <xdr:rowOff>43180</xdr:rowOff>
    </xdr:to>
    <xdr:sp macro="" textlink="">
      <xdr:nvSpPr>
        <xdr:cNvPr id="11" name="Ball_One"/>
        <xdr:cNvSpPr/>
      </xdr:nvSpPr>
      <xdr:spPr>
        <a:xfrm>
          <a:off x="6413500" y="7048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419100</xdr:colOff>
      <xdr:row>39</xdr:row>
      <xdr:rowOff>157480</xdr:rowOff>
    </xdr:from>
    <xdr:to>
      <xdr:col>9</xdr:col>
      <xdr:colOff>546100</xdr:colOff>
      <xdr:row>40</xdr:row>
      <xdr:rowOff>101600</xdr:rowOff>
    </xdr:to>
    <xdr:sp macro="" textlink="">
      <xdr:nvSpPr>
        <xdr:cNvPr id="12" name="Ball_One"/>
        <xdr:cNvSpPr/>
      </xdr:nvSpPr>
      <xdr:spPr>
        <a:xfrm>
          <a:off x="5905500" y="72898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266700</xdr:colOff>
      <xdr:row>35</xdr:row>
      <xdr:rowOff>12700</xdr:rowOff>
    </xdr:from>
    <xdr:to>
      <xdr:col>8</xdr:col>
      <xdr:colOff>393700</xdr:colOff>
      <xdr:row>35</xdr:row>
      <xdr:rowOff>139700</xdr:rowOff>
    </xdr:to>
    <xdr:sp macro="" textlink="">
      <xdr:nvSpPr>
        <xdr:cNvPr id="13" name="Ball_One"/>
        <xdr:cNvSpPr/>
      </xdr:nvSpPr>
      <xdr:spPr>
        <a:xfrm>
          <a:off x="5143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0</xdr:colOff>
      <xdr:row>32</xdr:row>
      <xdr:rowOff>15240</xdr:rowOff>
    </xdr:from>
    <xdr:to>
      <xdr:col>10</xdr:col>
      <xdr:colOff>127000</xdr:colOff>
      <xdr:row>32</xdr:row>
      <xdr:rowOff>142240</xdr:rowOff>
    </xdr:to>
    <xdr:sp macro="" textlink="">
      <xdr:nvSpPr>
        <xdr:cNvPr id="14" name="Ball_One"/>
        <xdr:cNvSpPr/>
      </xdr:nvSpPr>
      <xdr:spPr>
        <a:xfrm>
          <a:off x="6096000" y="58674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317500</xdr:colOff>
      <xdr:row>29</xdr:row>
      <xdr:rowOff>93980</xdr:rowOff>
    </xdr:from>
    <xdr:to>
      <xdr:col>10</xdr:col>
      <xdr:colOff>444500</xdr:colOff>
      <xdr:row>30</xdr:row>
      <xdr:rowOff>38100</xdr:rowOff>
    </xdr:to>
    <xdr:sp macro="" textlink="">
      <xdr:nvSpPr>
        <xdr:cNvPr id="15" name="Ball_One"/>
        <xdr:cNvSpPr/>
      </xdr:nvSpPr>
      <xdr:spPr>
        <a:xfrm>
          <a:off x="6413500" y="5397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342900</xdr:colOff>
      <xdr:row>29</xdr:row>
      <xdr:rowOff>5080</xdr:rowOff>
    </xdr:from>
    <xdr:to>
      <xdr:col>11</xdr:col>
      <xdr:colOff>469900</xdr:colOff>
      <xdr:row>29</xdr:row>
      <xdr:rowOff>132080</xdr:rowOff>
    </xdr:to>
    <xdr:sp macro="" textlink="">
      <xdr:nvSpPr>
        <xdr:cNvPr id="16" name="Ball_One"/>
        <xdr:cNvSpPr/>
      </xdr:nvSpPr>
      <xdr:spPr>
        <a:xfrm>
          <a:off x="7048500" y="53086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254000</xdr:colOff>
      <xdr:row>33</xdr:row>
      <xdr:rowOff>60960</xdr:rowOff>
    </xdr:from>
    <xdr:to>
      <xdr:col>11</xdr:col>
      <xdr:colOff>381000</xdr:colOff>
      <xdr:row>34</xdr:row>
      <xdr:rowOff>5080</xdr:rowOff>
    </xdr:to>
    <xdr:sp macro="" textlink="">
      <xdr:nvSpPr>
        <xdr:cNvPr id="17" name="Ball_One"/>
        <xdr:cNvSpPr/>
      </xdr:nvSpPr>
      <xdr:spPr>
        <a:xfrm>
          <a:off x="6959600" y="60960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114300</xdr:colOff>
      <xdr:row>35</xdr:row>
      <xdr:rowOff>12700</xdr:rowOff>
    </xdr:from>
    <xdr:to>
      <xdr:col>12</xdr:col>
      <xdr:colOff>241300</xdr:colOff>
      <xdr:row>35</xdr:row>
      <xdr:rowOff>139700</xdr:rowOff>
    </xdr:to>
    <xdr:sp macro="" textlink="">
      <xdr:nvSpPr>
        <xdr:cNvPr id="18" name="Ball_One"/>
        <xdr:cNvSpPr/>
      </xdr:nvSpPr>
      <xdr:spPr>
        <a:xfrm>
          <a:off x="7429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215900</xdr:colOff>
      <xdr:row>39</xdr:row>
      <xdr:rowOff>157480</xdr:rowOff>
    </xdr:from>
    <xdr:to>
      <xdr:col>11</xdr:col>
      <xdr:colOff>342900</xdr:colOff>
      <xdr:row>40</xdr:row>
      <xdr:rowOff>101600</xdr:rowOff>
    </xdr:to>
    <xdr:sp macro="" textlink="">
      <xdr:nvSpPr>
        <xdr:cNvPr id="19" name="Ball_One"/>
        <xdr:cNvSpPr/>
      </xdr:nvSpPr>
      <xdr:spPr>
        <a:xfrm>
          <a:off x="6921500" y="72898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419100</xdr:colOff>
      <xdr:row>39</xdr:row>
      <xdr:rowOff>157480</xdr:rowOff>
    </xdr:from>
    <xdr:to>
      <xdr:col>9</xdr:col>
      <xdr:colOff>546100</xdr:colOff>
      <xdr:row>40</xdr:row>
      <xdr:rowOff>101600</xdr:rowOff>
    </xdr:to>
    <xdr:sp macro="" textlink="">
      <xdr:nvSpPr>
        <xdr:cNvPr id="20" name="Ball_One"/>
        <xdr:cNvSpPr/>
      </xdr:nvSpPr>
      <xdr:spPr>
        <a:xfrm>
          <a:off x="5905500" y="72898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50800</xdr:colOff>
      <xdr:row>37</xdr:row>
      <xdr:rowOff>154940</xdr:rowOff>
    </xdr:from>
    <xdr:to>
      <xdr:col>9</xdr:col>
      <xdr:colOff>177800</xdr:colOff>
      <xdr:row>38</xdr:row>
      <xdr:rowOff>99060</xdr:rowOff>
    </xdr:to>
    <xdr:sp macro="" textlink="">
      <xdr:nvSpPr>
        <xdr:cNvPr id="21" name="Ball_One"/>
        <xdr:cNvSpPr/>
      </xdr:nvSpPr>
      <xdr:spPr>
        <a:xfrm>
          <a:off x="5537200" y="6921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241300</xdr:colOff>
      <xdr:row>35</xdr:row>
      <xdr:rowOff>12700</xdr:rowOff>
    </xdr:from>
    <xdr:to>
      <xdr:col>7</xdr:col>
      <xdr:colOff>368300</xdr:colOff>
      <xdr:row>35</xdr:row>
      <xdr:rowOff>139700</xdr:rowOff>
    </xdr:to>
    <xdr:sp macro="" textlink="">
      <xdr:nvSpPr>
        <xdr:cNvPr id="22" name="Ball_One"/>
        <xdr:cNvSpPr/>
      </xdr:nvSpPr>
      <xdr:spPr>
        <a:xfrm>
          <a:off x="4508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50800</xdr:colOff>
      <xdr:row>32</xdr:row>
      <xdr:rowOff>53340</xdr:rowOff>
    </xdr:from>
    <xdr:to>
      <xdr:col>9</xdr:col>
      <xdr:colOff>177800</xdr:colOff>
      <xdr:row>32</xdr:row>
      <xdr:rowOff>180340</xdr:rowOff>
    </xdr:to>
    <xdr:sp macro="" textlink="">
      <xdr:nvSpPr>
        <xdr:cNvPr id="23" name="Ball_One"/>
        <xdr:cNvSpPr/>
      </xdr:nvSpPr>
      <xdr:spPr>
        <a:xfrm>
          <a:off x="5537200" y="5905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457200</xdr:colOff>
      <xdr:row>24</xdr:row>
      <xdr:rowOff>157480</xdr:rowOff>
    </xdr:from>
    <xdr:to>
      <xdr:col>8</xdr:col>
      <xdr:colOff>584200</xdr:colOff>
      <xdr:row>25</xdr:row>
      <xdr:rowOff>101600</xdr:rowOff>
    </xdr:to>
    <xdr:sp macro="" textlink="">
      <xdr:nvSpPr>
        <xdr:cNvPr id="24" name="Ball_One"/>
        <xdr:cNvSpPr/>
      </xdr:nvSpPr>
      <xdr:spPr>
        <a:xfrm>
          <a:off x="5334000" y="45466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317500</xdr:colOff>
      <xdr:row>24</xdr:row>
      <xdr:rowOff>119380</xdr:rowOff>
    </xdr:from>
    <xdr:to>
      <xdr:col>10</xdr:col>
      <xdr:colOff>444500</xdr:colOff>
      <xdr:row>25</xdr:row>
      <xdr:rowOff>63500</xdr:rowOff>
    </xdr:to>
    <xdr:sp macro="" textlink="">
      <xdr:nvSpPr>
        <xdr:cNvPr id="25" name="Ball_One"/>
        <xdr:cNvSpPr/>
      </xdr:nvSpPr>
      <xdr:spPr>
        <a:xfrm>
          <a:off x="6413500" y="4508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533400</xdr:colOff>
      <xdr:row>27</xdr:row>
      <xdr:rowOff>40640</xdr:rowOff>
    </xdr:from>
    <xdr:to>
      <xdr:col>12</xdr:col>
      <xdr:colOff>50800</xdr:colOff>
      <xdr:row>27</xdr:row>
      <xdr:rowOff>167640</xdr:rowOff>
    </xdr:to>
    <xdr:sp macro="" textlink="">
      <xdr:nvSpPr>
        <xdr:cNvPr id="26" name="Ball_One"/>
        <xdr:cNvSpPr/>
      </xdr:nvSpPr>
      <xdr:spPr>
        <a:xfrm>
          <a:off x="7239000" y="49784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304800</xdr:colOff>
      <xdr:row>31</xdr:row>
      <xdr:rowOff>45720</xdr:rowOff>
    </xdr:from>
    <xdr:to>
      <xdr:col>12</xdr:col>
      <xdr:colOff>431800</xdr:colOff>
      <xdr:row>31</xdr:row>
      <xdr:rowOff>172720</xdr:rowOff>
    </xdr:to>
    <xdr:sp macro="" textlink="">
      <xdr:nvSpPr>
        <xdr:cNvPr id="27" name="Ball_One"/>
        <xdr:cNvSpPr/>
      </xdr:nvSpPr>
      <xdr:spPr>
        <a:xfrm>
          <a:off x="7620000" y="57150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14</xdr:col>
      <xdr:colOff>419100</xdr:colOff>
      <xdr:row>35</xdr:row>
      <xdr:rowOff>12700</xdr:rowOff>
    </xdr:from>
    <xdr:to>
      <xdr:col>14</xdr:col>
      <xdr:colOff>546100</xdr:colOff>
      <xdr:row>35</xdr:row>
      <xdr:rowOff>139700</xdr:rowOff>
    </xdr:to>
    <xdr:sp macro="" textlink="">
      <xdr:nvSpPr>
        <xdr:cNvPr id="28" name="Ball_One"/>
        <xdr:cNvSpPr/>
      </xdr:nvSpPr>
      <xdr:spPr>
        <a:xfrm>
          <a:off x="8953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13</xdr:col>
      <xdr:colOff>254000</xdr:colOff>
      <xdr:row>40</xdr:row>
      <xdr:rowOff>114300</xdr:rowOff>
    </xdr:from>
    <xdr:to>
      <xdr:col>13</xdr:col>
      <xdr:colOff>381000</xdr:colOff>
      <xdr:row>41</xdr:row>
      <xdr:rowOff>58420</xdr:rowOff>
    </xdr:to>
    <xdr:sp macro="" textlink="">
      <xdr:nvSpPr>
        <xdr:cNvPr id="29" name="Ball_One"/>
        <xdr:cNvSpPr/>
      </xdr:nvSpPr>
      <xdr:spPr>
        <a:xfrm>
          <a:off x="8178800" y="7429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21</xdr:col>
      <xdr:colOff>25400</xdr:colOff>
      <xdr:row>69</xdr:row>
      <xdr:rowOff>120650</xdr:rowOff>
    </xdr:to>
    <xdr:sp macro="" textlink="">
      <xdr:nvSpPr>
        <xdr:cNvPr id="2" name="Green"/>
        <xdr:cNvSpPr/>
      </xdr:nvSpPr>
      <xdr:spPr>
        <a:xfrm>
          <a:off x="127000" y="127000"/>
          <a:ext cx="12700000" cy="12700000"/>
        </a:xfrm>
        <a:prstGeom prst="ellipse">
          <a:avLst/>
        </a:prstGeom>
        <a:solidFill>
          <a:srgbClr val="00BE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254000</xdr:colOff>
      <xdr:row>34</xdr:row>
      <xdr:rowOff>88900</xdr:rowOff>
    </xdr:from>
    <xdr:to>
      <xdr:col>10</xdr:col>
      <xdr:colOff>508000</xdr:colOff>
      <xdr:row>35</xdr:row>
      <xdr:rowOff>158750</xdr:rowOff>
    </xdr:to>
    <xdr:sp macro="" textlink="">
      <xdr:nvSpPr>
        <xdr:cNvPr id="3" name="Hole"/>
        <xdr:cNvSpPr/>
      </xdr:nvSpPr>
      <xdr:spPr>
        <a:xfrm>
          <a:off x="6350000" y="6350000"/>
          <a:ext cx="254000" cy="254000"/>
        </a:xfrm>
        <a:prstGeom prst="ellipse">
          <a:avLst/>
        </a:pr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177800</xdr:colOff>
      <xdr:row>7</xdr:row>
      <xdr:rowOff>107950</xdr:rowOff>
    </xdr:from>
    <xdr:to>
      <xdr:col>18</xdr:col>
      <xdr:colOff>584200</xdr:colOff>
      <xdr:row>62</xdr:row>
      <xdr:rowOff>139700</xdr:rowOff>
    </xdr:to>
    <xdr:sp macro="" textlink="">
      <xdr:nvSpPr>
        <xdr:cNvPr id="4" name="80pLine"/>
        <xdr:cNvSpPr/>
      </xdr:nvSpPr>
      <xdr:spPr>
        <a:xfrm>
          <a:off x="1397000" y="1397000"/>
          <a:ext cx="10160000" cy="1016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228600</xdr:colOff>
      <xdr:row>14</xdr:row>
      <xdr:rowOff>88900</xdr:rowOff>
    </xdr:from>
    <xdr:to>
      <xdr:col>16</xdr:col>
      <xdr:colOff>533400</xdr:colOff>
      <xdr:row>55</xdr:row>
      <xdr:rowOff>158750</xdr:rowOff>
    </xdr:to>
    <xdr:sp macro="" textlink="">
      <xdr:nvSpPr>
        <xdr:cNvPr id="5" name="60pLine"/>
        <xdr:cNvSpPr/>
      </xdr:nvSpPr>
      <xdr:spPr>
        <a:xfrm>
          <a:off x="2667000" y="2667000"/>
          <a:ext cx="7620000" cy="762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279400</xdr:colOff>
      <xdr:row>21</xdr:row>
      <xdr:rowOff>69850</xdr:rowOff>
    </xdr:from>
    <xdr:to>
      <xdr:col>14</xdr:col>
      <xdr:colOff>482600</xdr:colOff>
      <xdr:row>48</xdr:row>
      <xdr:rowOff>177800</xdr:rowOff>
    </xdr:to>
    <xdr:sp macro="" textlink="">
      <xdr:nvSpPr>
        <xdr:cNvPr id="6" name="40pLine"/>
        <xdr:cNvSpPr/>
      </xdr:nvSpPr>
      <xdr:spPr>
        <a:xfrm>
          <a:off x="3937000" y="3937000"/>
          <a:ext cx="5080000" cy="508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330200</xdr:colOff>
      <xdr:row>28</xdr:row>
      <xdr:rowOff>50800</xdr:rowOff>
    </xdr:from>
    <xdr:to>
      <xdr:col>12</xdr:col>
      <xdr:colOff>431800</xdr:colOff>
      <xdr:row>42</xdr:row>
      <xdr:rowOff>12700</xdr:rowOff>
    </xdr:to>
    <xdr:sp macro="" textlink="">
      <xdr:nvSpPr>
        <xdr:cNvPr id="7" name="20pLine"/>
        <xdr:cNvSpPr/>
      </xdr:nvSpPr>
      <xdr:spPr>
        <a:xfrm>
          <a:off x="5207000" y="5207000"/>
          <a:ext cx="2540000" cy="254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21</xdr:col>
      <xdr:colOff>25400</xdr:colOff>
      <xdr:row>69</xdr:row>
      <xdr:rowOff>120650</xdr:rowOff>
    </xdr:to>
    <xdr:sp macro="" textlink="">
      <xdr:nvSpPr>
        <xdr:cNvPr id="2" name="Green"/>
        <xdr:cNvSpPr/>
      </xdr:nvSpPr>
      <xdr:spPr>
        <a:xfrm>
          <a:off x="127000" y="127000"/>
          <a:ext cx="12700000" cy="12700000"/>
        </a:xfrm>
        <a:prstGeom prst="ellipse">
          <a:avLst/>
        </a:prstGeom>
        <a:solidFill>
          <a:srgbClr val="00BE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254000</xdr:colOff>
      <xdr:row>34</xdr:row>
      <xdr:rowOff>88900</xdr:rowOff>
    </xdr:from>
    <xdr:to>
      <xdr:col>10</xdr:col>
      <xdr:colOff>508000</xdr:colOff>
      <xdr:row>35</xdr:row>
      <xdr:rowOff>158750</xdr:rowOff>
    </xdr:to>
    <xdr:sp macro="" textlink="">
      <xdr:nvSpPr>
        <xdr:cNvPr id="3" name="Hole"/>
        <xdr:cNvSpPr/>
      </xdr:nvSpPr>
      <xdr:spPr>
        <a:xfrm>
          <a:off x="6350000" y="6350000"/>
          <a:ext cx="254000" cy="254000"/>
        </a:xfrm>
        <a:prstGeom prst="ellipse">
          <a:avLst/>
        </a:pr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177800</xdr:colOff>
      <xdr:row>7</xdr:row>
      <xdr:rowOff>107950</xdr:rowOff>
    </xdr:from>
    <xdr:to>
      <xdr:col>18</xdr:col>
      <xdr:colOff>584200</xdr:colOff>
      <xdr:row>62</xdr:row>
      <xdr:rowOff>139700</xdr:rowOff>
    </xdr:to>
    <xdr:sp macro="" textlink="">
      <xdr:nvSpPr>
        <xdr:cNvPr id="4" name="80pLine"/>
        <xdr:cNvSpPr/>
      </xdr:nvSpPr>
      <xdr:spPr>
        <a:xfrm>
          <a:off x="1397000" y="1397000"/>
          <a:ext cx="10160000" cy="1016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228600</xdr:colOff>
      <xdr:row>14</xdr:row>
      <xdr:rowOff>88900</xdr:rowOff>
    </xdr:from>
    <xdr:to>
      <xdr:col>16</xdr:col>
      <xdr:colOff>533400</xdr:colOff>
      <xdr:row>55</xdr:row>
      <xdr:rowOff>158750</xdr:rowOff>
    </xdr:to>
    <xdr:sp macro="" textlink="">
      <xdr:nvSpPr>
        <xdr:cNvPr id="5" name="60pLine"/>
        <xdr:cNvSpPr/>
      </xdr:nvSpPr>
      <xdr:spPr>
        <a:xfrm>
          <a:off x="2667000" y="2667000"/>
          <a:ext cx="7620000" cy="762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279400</xdr:colOff>
      <xdr:row>21</xdr:row>
      <xdr:rowOff>69850</xdr:rowOff>
    </xdr:from>
    <xdr:to>
      <xdr:col>14</xdr:col>
      <xdr:colOff>482600</xdr:colOff>
      <xdr:row>48</xdr:row>
      <xdr:rowOff>177800</xdr:rowOff>
    </xdr:to>
    <xdr:sp macro="" textlink="">
      <xdr:nvSpPr>
        <xdr:cNvPr id="6" name="40pLine"/>
        <xdr:cNvSpPr/>
      </xdr:nvSpPr>
      <xdr:spPr>
        <a:xfrm>
          <a:off x="3937000" y="3937000"/>
          <a:ext cx="5080000" cy="508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330200</xdr:colOff>
      <xdr:row>28</xdr:row>
      <xdr:rowOff>50800</xdr:rowOff>
    </xdr:from>
    <xdr:to>
      <xdr:col>12</xdr:col>
      <xdr:colOff>431800</xdr:colOff>
      <xdr:row>42</xdr:row>
      <xdr:rowOff>12700</xdr:rowOff>
    </xdr:to>
    <xdr:sp macro="" textlink="">
      <xdr:nvSpPr>
        <xdr:cNvPr id="7" name="20pLine"/>
        <xdr:cNvSpPr/>
      </xdr:nvSpPr>
      <xdr:spPr>
        <a:xfrm>
          <a:off x="5207000" y="5207000"/>
          <a:ext cx="2540000" cy="2540000"/>
        </a:xfrm>
        <a:prstGeom prst="ellipse">
          <a:avLst/>
        </a:prstGeom>
        <a:solidFill>
          <a:schemeClr val="accent1">
            <a:alpha val="0"/>
          </a:schemeClr>
        </a:solidFill>
        <a:ln>
          <a:solidFill>
            <a:srgbClr val="142F5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254000</xdr:colOff>
      <xdr:row>33</xdr:row>
      <xdr:rowOff>19050</xdr:rowOff>
    </xdr:from>
    <xdr:to>
      <xdr:col>11</xdr:col>
      <xdr:colOff>381000</xdr:colOff>
      <xdr:row>33</xdr:row>
      <xdr:rowOff>146050</xdr:rowOff>
    </xdr:to>
    <xdr:sp macro="" textlink="">
      <xdr:nvSpPr>
        <xdr:cNvPr id="8" name="Ball_One"/>
        <xdr:cNvSpPr/>
      </xdr:nvSpPr>
      <xdr:spPr>
        <a:xfrm>
          <a:off x="6959600" y="60960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114300</xdr:colOff>
      <xdr:row>34</xdr:row>
      <xdr:rowOff>152400</xdr:rowOff>
    </xdr:from>
    <xdr:to>
      <xdr:col>12</xdr:col>
      <xdr:colOff>241300</xdr:colOff>
      <xdr:row>35</xdr:row>
      <xdr:rowOff>95250</xdr:rowOff>
    </xdr:to>
    <xdr:sp macro="" textlink="">
      <xdr:nvSpPr>
        <xdr:cNvPr id="9" name="Ball_One"/>
        <xdr:cNvSpPr/>
      </xdr:nvSpPr>
      <xdr:spPr>
        <a:xfrm>
          <a:off x="7429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342900</xdr:colOff>
      <xdr:row>40</xdr:row>
      <xdr:rowOff>152400</xdr:rowOff>
    </xdr:from>
    <xdr:to>
      <xdr:col>11</xdr:col>
      <xdr:colOff>469900</xdr:colOff>
      <xdr:row>41</xdr:row>
      <xdr:rowOff>95250</xdr:rowOff>
    </xdr:to>
    <xdr:sp macro="" textlink="">
      <xdr:nvSpPr>
        <xdr:cNvPr id="10" name="Ball_One"/>
        <xdr:cNvSpPr/>
      </xdr:nvSpPr>
      <xdr:spPr>
        <a:xfrm>
          <a:off x="7048500" y="75184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317500</xdr:colOff>
      <xdr:row>38</xdr:row>
      <xdr:rowOff>50800</xdr:rowOff>
    </xdr:from>
    <xdr:to>
      <xdr:col>10</xdr:col>
      <xdr:colOff>444500</xdr:colOff>
      <xdr:row>38</xdr:row>
      <xdr:rowOff>177800</xdr:rowOff>
    </xdr:to>
    <xdr:sp macro="" textlink="">
      <xdr:nvSpPr>
        <xdr:cNvPr id="11" name="Ball_One"/>
        <xdr:cNvSpPr/>
      </xdr:nvSpPr>
      <xdr:spPr>
        <a:xfrm>
          <a:off x="6413500" y="7048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419100</xdr:colOff>
      <xdr:row>39</xdr:row>
      <xdr:rowOff>107950</xdr:rowOff>
    </xdr:from>
    <xdr:to>
      <xdr:col>9</xdr:col>
      <xdr:colOff>546100</xdr:colOff>
      <xdr:row>40</xdr:row>
      <xdr:rowOff>50800</xdr:rowOff>
    </xdr:to>
    <xdr:sp macro="" textlink="">
      <xdr:nvSpPr>
        <xdr:cNvPr id="12" name="Ball_One"/>
        <xdr:cNvSpPr/>
      </xdr:nvSpPr>
      <xdr:spPr>
        <a:xfrm>
          <a:off x="5905500" y="72898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266700</xdr:colOff>
      <xdr:row>34</xdr:row>
      <xdr:rowOff>152400</xdr:rowOff>
    </xdr:from>
    <xdr:to>
      <xdr:col>8</xdr:col>
      <xdr:colOff>393700</xdr:colOff>
      <xdr:row>35</xdr:row>
      <xdr:rowOff>95250</xdr:rowOff>
    </xdr:to>
    <xdr:sp macro="" textlink="">
      <xdr:nvSpPr>
        <xdr:cNvPr id="13" name="Ball_One"/>
        <xdr:cNvSpPr/>
      </xdr:nvSpPr>
      <xdr:spPr>
        <a:xfrm>
          <a:off x="5143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0</xdr:colOff>
      <xdr:row>31</xdr:row>
      <xdr:rowOff>158750</xdr:rowOff>
    </xdr:from>
    <xdr:to>
      <xdr:col>10</xdr:col>
      <xdr:colOff>127000</xdr:colOff>
      <xdr:row>32</xdr:row>
      <xdr:rowOff>101600</xdr:rowOff>
    </xdr:to>
    <xdr:sp macro="" textlink="">
      <xdr:nvSpPr>
        <xdr:cNvPr id="14" name="Ball_One"/>
        <xdr:cNvSpPr/>
      </xdr:nvSpPr>
      <xdr:spPr>
        <a:xfrm>
          <a:off x="6096000" y="58674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317500</xdr:colOff>
      <xdr:row>29</xdr:row>
      <xdr:rowOff>57150</xdr:rowOff>
    </xdr:from>
    <xdr:to>
      <xdr:col>10</xdr:col>
      <xdr:colOff>444500</xdr:colOff>
      <xdr:row>30</xdr:row>
      <xdr:rowOff>0</xdr:rowOff>
    </xdr:to>
    <xdr:sp macro="" textlink="">
      <xdr:nvSpPr>
        <xdr:cNvPr id="15" name="Ball_One"/>
        <xdr:cNvSpPr/>
      </xdr:nvSpPr>
      <xdr:spPr>
        <a:xfrm>
          <a:off x="6413500" y="5397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342900</xdr:colOff>
      <xdr:row>28</xdr:row>
      <xdr:rowOff>152400</xdr:rowOff>
    </xdr:from>
    <xdr:to>
      <xdr:col>11</xdr:col>
      <xdr:colOff>469900</xdr:colOff>
      <xdr:row>29</xdr:row>
      <xdr:rowOff>95250</xdr:rowOff>
    </xdr:to>
    <xdr:sp macro="" textlink="">
      <xdr:nvSpPr>
        <xdr:cNvPr id="16" name="Ball_One"/>
        <xdr:cNvSpPr/>
      </xdr:nvSpPr>
      <xdr:spPr>
        <a:xfrm>
          <a:off x="7048500" y="53086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254000</xdr:colOff>
      <xdr:row>33</xdr:row>
      <xdr:rowOff>19050</xdr:rowOff>
    </xdr:from>
    <xdr:to>
      <xdr:col>11</xdr:col>
      <xdr:colOff>381000</xdr:colOff>
      <xdr:row>33</xdr:row>
      <xdr:rowOff>146050</xdr:rowOff>
    </xdr:to>
    <xdr:sp macro="" textlink="">
      <xdr:nvSpPr>
        <xdr:cNvPr id="17" name="Ball_One"/>
        <xdr:cNvSpPr/>
      </xdr:nvSpPr>
      <xdr:spPr>
        <a:xfrm>
          <a:off x="6959600" y="60960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114300</xdr:colOff>
      <xdr:row>34</xdr:row>
      <xdr:rowOff>152400</xdr:rowOff>
    </xdr:from>
    <xdr:to>
      <xdr:col>12</xdr:col>
      <xdr:colOff>241300</xdr:colOff>
      <xdr:row>35</xdr:row>
      <xdr:rowOff>95250</xdr:rowOff>
    </xdr:to>
    <xdr:sp macro="" textlink="">
      <xdr:nvSpPr>
        <xdr:cNvPr id="18" name="Ball_One"/>
        <xdr:cNvSpPr/>
      </xdr:nvSpPr>
      <xdr:spPr>
        <a:xfrm>
          <a:off x="7429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215900</xdr:colOff>
      <xdr:row>39</xdr:row>
      <xdr:rowOff>107950</xdr:rowOff>
    </xdr:from>
    <xdr:to>
      <xdr:col>11</xdr:col>
      <xdr:colOff>342900</xdr:colOff>
      <xdr:row>40</xdr:row>
      <xdr:rowOff>50800</xdr:rowOff>
    </xdr:to>
    <xdr:sp macro="" textlink="">
      <xdr:nvSpPr>
        <xdr:cNvPr id="19" name="Ball_One"/>
        <xdr:cNvSpPr/>
      </xdr:nvSpPr>
      <xdr:spPr>
        <a:xfrm>
          <a:off x="6921500" y="72898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419100</xdr:colOff>
      <xdr:row>39</xdr:row>
      <xdr:rowOff>107950</xdr:rowOff>
    </xdr:from>
    <xdr:to>
      <xdr:col>9</xdr:col>
      <xdr:colOff>546100</xdr:colOff>
      <xdr:row>40</xdr:row>
      <xdr:rowOff>50800</xdr:rowOff>
    </xdr:to>
    <xdr:sp macro="" textlink="">
      <xdr:nvSpPr>
        <xdr:cNvPr id="20" name="Ball_One"/>
        <xdr:cNvSpPr/>
      </xdr:nvSpPr>
      <xdr:spPr>
        <a:xfrm>
          <a:off x="5905500" y="72898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50800</xdr:colOff>
      <xdr:row>37</xdr:row>
      <xdr:rowOff>107950</xdr:rowOff>
    </xdr:from>
    <xdr:to>
      <xdr:col>9</xdr:col>
      <xdr:colOff>177800</xdr:colOff>
      <xdr:row>38</xdr:row>
      <xdr:rowOff>50800</xdr:rowOff>
    </xdr:to>
    <xdr:sp macro="" textlink="">
      <xdr:nvSpPr>
        <xdr:cNvPr id="21" name="Ball_One"/>
        <xdr:cNvSpPr/>
      </xdr:nvSpPr>
      <xdr:spPr>
        <a:xfrm>
          <a:off x="5537200" y="6921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241300</xdr:colOff>
      <xdr:row>34</xdr:row>
      <xdr:rowOff>152400</xdr:rowOff>
    </xdr:from>
    <xdr:to>
      <xdr:col>7</xdr:col>
      <xdr:colOff>368300</xdr:colOff>
      <xdr:row>35</xdr:row>
      <xdr:rowOff>95250</xdr:rowOff>
    </xdr:to>
    <xdr:sp macro="" textlink="">
      <xdr:nvSpPr>
        <xdr:cNvPr id="22" name="Ball_One"/>
        <xdr:cNvSpPr/>
      </xdr:nvSpPr>
      <xdr:spPr>
        <a:xfrm>
          <a:off x="4508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50800</xdr:colOff>
      <xdr:row>32</xdr:row>
      <xdr:rowOff>12700</xdr:rowOff>
    </xdr:from>
    <xdr:to>
      <xdr:col>9</xdr:col>
      <xdr:colOff>177800</xdr:colOff>
      <xdr:row>32</xdr:row>
      <xdr:rowOff>139700</xdr:rowOff>
    </xdr:to>
    <xdr:sp macro="" textlink="">
      <xdr:nvSpPr>
        <xdr:cNvPr id="23" name="Ball_One"/>
        <xdr:cNvSpPr/>
      </xdr:nvSpPr>
      <xdr:spPr>
        <a:xfrm>
          <a:off x="5537200" y="5905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457200</xdr:colOff>
      <xdr:row>24</xdr:row>
      <xdr:rowOff>127000</xdr:rowOff>
    </xdr:from>
    <xdr:to>
      <xdr:col>8</xdr:col>
      <xdr:colOff>584200</xdr:colOff>
      <xdr:row>25</xdr:row>
      <xdr:rowOff>69850</xdr:rowOff>
    </xdr:to>
    <xdr:sp macro="" textlink="">
      <xdr:nvSpPr>
        <xdr:cNvPr id="24" name="Ball_One"/>
        <xdr:cNvSpPr/>
      </xdr:nvSpPr>
      <xdr:spPr>
        <a:xfrm>
          <a:off x="5334000" y="45466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10</xdr:col>
      <xdr:colOff>317500</xdr:colOff>
      <xdr:row>24</xdr:row>
      <xdr:rowOff>88900</xdr:rowOff>
    </xdr:from>
    <xdr:to>
      <xdr:col>10</xdr:col>
      <xdr:colOff>444500</xdr:colOff>
      <xdr:row>25</xdr:row>
      <xdr:rowOff>31750</xdr:rowOff>
    </xdr:to>
    <xdr:sp macro="" textlink="">
      <xdr:nvSpPr>
        <xdr:cNvPr id="25" name="Ball_One"/>
        <xdr:cNvSpPr/>
      </xdr:nvSpPr>
      <xdr:spPr>
        <a:xfrm>
          <a:off x="6413500" y="4508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533400</xdr:colOff>
      <xdr:row>27</xdr:row>
      <xdr:rowOff>6350</xdr:rowOff>
    </xdr:from>
    <xdr:to>
      <xdr:col>12</xdr:col>
      <xdr:colOff>50800</xdr:colOff>
      <xdr:row>27</xdr:row>
      <xdr:rowOff>133350</xdr:rowOff>
    </xdr:to>
    <xdr:sp macro="" textlink="">
      <xdr:nvSpPr>
        <xdr:cNvPr id="26" name="Ball_One"/>
        <xdr:cNvSpPr/>
      </xdr:nvSpPr>
      <xdr:spPr>
        <a:xfrm>
          <a:off x="7239000" y="49784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304800</xdr:colOff>
      <xdr:row>31</xdr:row>
      <xdr:rowOff>6350</xdr:rowOff>
    </xdr:from>
    <xdr:to>
      <xdr:col>12</xdr:col>
      <xdr:colOff>431800</xdr:colOff>
      <xdr:row>31</xdr:row>
      <xdr:rowOff>133350</xdr:rowOff>
    </xdr:to>
    <xdr:sp macro="" textlink="">
      <xdr:nvSpPr>
        <xdr:cNvPr id="27" name="Ball_One"/>
        <xdr:cNvSpPr/>
      </xdr:nvSpPr>
      <xdr:spPr>
        <a:xfrm>
          <a:off x="7620000" y="57150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14</xdr:col>
      <xdr:colOff>419100</xdr:colOff>
      <xdr:row>34</xdr:row>
      <xdr:rowOff>152400</xdr:rowOff>
    </xdr:from>
    <xdr:to>
      <xdr:col>14</xdr:col>
      <xdr:colOff>546100</xdr:colOff>
      <xdr:row>35</xdr:row>
      <xdr:rowOff>95250</xdr:rowOff>
    </xdr:to>
    <xdr:sp macro="" textlink="">
      <xdr:nvSpPr>
        <xdr:cNvPr id="28" name="Ball_One"/>
        <xdr:cNvSpPr/>
      </xdr:nvSpPr>
      <xdr:spPr>
        <a:xfrm>
          <a:off x="8953500" y="6413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13</xdr:col>
      <xdr:colOff>254000</xdr:colOff>
      <xdr:row>40</xdr:row>
      <xdr:rowOff>63500</xdr:rowOff>
    </xdr:from>
    <xdr:to>
      <xdr:col>13</xdr:col>
      <xdr:colOff>381000</xdr:colOff>
      <xdr:row>41</xdr:row>
      <xdr:rowOff>6350</xdr:rowOff>
    </xdr:to>
    <xdr:sp macro="" textlink="">
      <xdr:nvSpPr>
        <xdr:cNvPr id="29" name="Ball_One"/>
        <xdr:cNvSpPr/>
      </xdr:nvSpPr>
      <xdr:spPr>
        <a:xfrm>
          <a:off x="8178800" y="7429500"/>
          <a:ext cx="127000" cy="1270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581025</xdr:colOff>
      <xdr:row>0</xdr:row>
      <xdr:rowOff>95250</xdr:rowOff>
    </xdr:from>
    <xdr:to>
      <xdr:col>11</xdr:col>
      <xdr:colOff>466725</xdr:colOff>
      <xdr:row>2</xdr:row>
      <xdr:rowOff>104775</xdr:rowOff>
    </xdr:to>
    <xdr:sp macro="[0]!MainView" textlink="">
      <xdr:nvSpPr>
        <xdr:cNvPr id="2" name="Rounded Rectangle 1"/>
        <xdr:cNvSpPr/>
      </xdr:nvSpPr>
      <xdr:spPr>
        <a:xfrm>
          <a:off x="6943725" y="95250"/>
          <a:ext cx="14192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/>
            <a:t>Plot on  Green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T2:T13"/>
  <sheetViews>
    <sheetView workbookViewId="0">
      <selection activeCell="U20" sqref="U20"/>
    </sheetView>
  </sheetViews>
  <sheetFormatPr defaultRowHeight="14.5" x14ac:dyDescent="0.35"/>
  <sheetData>
    <row r="2" spans="20:20" x14ac:dyDescent="0.35">
      <c r="T2" s="5" t="s">
        <v>51</v>
      </c>
    </row>
    <row r="4" spans="20:20" x14ac:dyDescent="0.35">
      <c r="T4" t="s">
        <v>43</v>
      </c>
    </row>
    <row r="6" spans="20:20" x14ac:dyDescent="0.35">
      <c r="T6" t="s">
        <v>44</v>
      </c>
    </row>
    <row r="7" spans="20:20" x14ac:dyDescent="0.35">
      <c r="T7" t="s">
        <v>45</v>
      </c>
    </row>
    <row r="9" spans="20:20" x14ac:dyDescent="0.35">
      <c r="T9" t="s">
        <v>46</v>
      </c>
    </row>
    <row r="10" spans="20:20" x14ac:dyDescent="0.35">
      <c r="T10" t="s">
        <v>50</v>
      </c>
    </row>
    <row r="11" spans="20:20" x14ac:dyDescent="0.35">
      <c r="T11" t="s">
        <v>49</v>
      </c>
    </row>
    <row r="12" spans="20:20" x14ac:dyDescent="0.35">
      <c r="T12" t="s">
        <v>47</v>
      </c>
    </row>
    <row r="13" spans="20:20" x14ac:dyDescent="0.35">
      <c r="T13" t="s">
        <v>48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"/>
  <sheetViews>
    <sheetView zoomScale="66" zoomScaleNormal="66"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zoomScale="66" zoomScaleNormal="66"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tabSelected="1" zoomScale="66" zoomScaleNormal="66" workbookViewId="0">
      <selection activeCell="AD19" sqref="AD19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I32"/>
  <sheetViews>
    <sheetView workbookViewId="0">
      <selection activeCell="K32" sqref="K32"/>
    </sheetView>
  </sheetViews>
  <sheetFormatPr defaultRowHeight="14.5" x14ac:dyDescent="0.35"/>
  <cols>
    <col min="1" max="1" width="10.90625" customWidth="1"/>
    <col min="2" max="2" width="9.54296875" customWidth="1"/>
    <col min="3" max="3" width="10.54296875" bestFit="1" customWidth="1"/>
    <col min="4" max="4" width="10.08984375" bestFit="1" customWidth="1"/>
    <col min="6" max="6" width="10.90625" customWidth="1"/>
    <col min="7" max="7" width="10.90625" hidden="1" customWidth="1"/>
    <col min="8" max="8" width="12" bestFit="1" customWidth="1"/>
    <col min="9" max="9" width="22.36328125" bestFit="1" customWidth="1"/>
    <col min="11" max="11" width="13.90625" customWidth="1"/>
    <col min="16" max="16" width="7.90625" bestFit="1" customWidth="1"/>
    <col min="17" max="17" width="10.08984375" bestFit="1" customWidth="1"/>
  </cols>
  <sheetData>
    <row r="1" spans="1:9" x14ac:dyDescent="0.35">
      <c r="A1" t="s">
        <v>4</v>
      </c>
      <c r="B1" t="s">
        <v>8</v>
      </c>
      <c r="C1" t="s">
        <v>37</v>
      </c>
      <c r="D1" t="s">
        <v>5</v>
      </c>
      <c r="E1" t="s">
        <v>6</v>
      </c>
      <c r="F1" t="s">
        <v>7</v>
      </c>
      <c r="G1" t="s">
        <v>42</v>
      </c>
      <c r="H1" t="s">
        <v>38</v>
      </c>
      <c r="I1" t="s">
        <v>41</v>
      </c>
    </row>
    <row r="2" spans="1:9" hidden="1" x14ac:dyDescent="0.35">
      <c r="A2" s="3">
        <v>43822</v>
      </c>
      <c r="B2" s="3" t="s">
        <v>9</v>
      </c>
      <c r="C2" s="4">
        <v>160</v>
      </c>
      <c r="D2" s="4" t="s">
        <v>14</v>
      </c>
      <c r="E2" s="4" t="s">
        <v>24</v>
      </c>
      <c r="F2" s="4" t="s">
        <v>40</v>
      </c>
      <c r="G2" s="4"/>
      <c r="H2" s="4">
        <v>18</v>
      </c>
      <c r="I2" s="4">
        <v>5</v>
      </c>
    </row>
    <row r="3" spans="1:9" x14ac:dyDescent="0.35">
      <c r="A3" s="2">
        <v>43822</v>
      </c>
      <c r="B3" s="2" t="s">
        <v>9</v>
      </c>
      <c r="C3">
        <v>80</v>
      </c>
      <c r="D3" t="s">
        <v>15</v>
      </c>
      <c r="E3" t="s">
        <v>24</v>
      </c>
      <c r="F3" t="s">
        <v>36</v>
      </c>
      <c r="H3">
        <v>5</v>
      </c>
      <c r="I3">
        <v>2</v>
      </c>
    </row>
    <row r="4" spans="1:9" x14ac:dyDescent="0.35">
      <c r="A4" s="2">
        <v>43822</v>
      </c>
      <c r="B4" s="2" t="s">
        <v>9</v>
      </c>
      <c r="C4">
        <v>95</v>
      </c>
      <c r="D4" t="s">
        <v>13</v>
      </c>
      <c r="E4" t="s">
        <v>24</v>
      </c>
      <c r="F4" t="s">
        <v>36</v>
      </c>
      <c r="H4">
        <v>8</v>
      </c>
      <c r="I4">
        <v>3</v>
      </c>
    </row>
    <row r="5" spans="1:9" hidden="1" x14ac:dyDescent="0.35">
      <c r="A5" s="2">
        <v>43822</v>
      </c>
      <c r="B5" s="2" t="s">
        <v>9</v>
      </c>
      <c r="C5">
        <v>140</v>
      </c>
      <c r="D5" t="s">
        <v>16</v>
      </c>
      <c r="E5" t="s">
        <v>27</v>
      </c>
      <c r="F5" t="s">
        <v>35</v>
      </c>
      <c r="H5">
        <v>10</v>
      </c>
      <c r="I5">
        <v>4</v>
      </c>
    </row>
    <row r="6" spans="1:9" x14ac:dyDescent="0.35">
      <c r="A6" s="2">
        <v>43822</v>
      </c>
      <c r="B6" s="2" t="s">
        <v>9</v>
      </c>
      <c r="C6">
        <v>100</v>
      </c>
      <c r="D6" t="s">
        <v>14</v>
      </c>
      <c r="E6" t="s">
        <v>24</v>
      </c>
      <c r="F6" t="s">
        <v>36</v>
      </c>
      <c r="H6">
        <v>10</v>
      </c>
      <c r="I6">
        <v>5</v>
      </c>
    </row>
    <row r="7" spans="1:9" x14ac:dyDescent="0.35">
      <c r="A7" s="2">
        <v>43822</v>
      </c>
      <c r="B7" s="2" t="s">
        <v>9</v>
      </c>
      <c r="C7">
        <v>80</v>
      </c>
      <c r="D7" t="s">
        <v>15</v>
      </c>
      <c r="E7" t="s">
        <v>39</v>
      </c>
      <c r="F7" t="s">
        <v>35</v>
      </c>
      <c r="H7">
        <v>5</v>
      </c>
      <c r="I7">
        <v>6</v>
      </c>
    </row>
    <row r="8" spans="1:9" x14ac:dyDescent="0.35">
      <c r="A8" s="2">
        <v>43822</v>
      </c>
      <c r="B8" s="2" t="s">
        <v>9</v>
      </c>
      <c r="C8">
        <v>95</v>
      </c>
      <c r="D8" t="s">
        <v>13</v>
      </c>
      <c r="E8" t="s">
        <v>28</v>
      </c>
      <c r="F8" t="s">
        <v>35</v>
      </c>
      <c r="H8">
        <v>8</v>
      </c>
      <c r="I8">
        <v>7</v>
      </c>
    </row>
    <row r="9" spans="1:9" hidden="1" x14ac:dyDescent="0.35">
      <c r="A9" s="2">
        <v>43822</v>
      </c>
      <c r="B9" s="2" t="s">
        <v>9</v>
      </c>
      <c r="C9">
        <v>160</v>
      </c>
      <c r="D9" t="s">
        <v>16</v>
      </c>
      <c r="E9" t="s">
        <v>24</v>
      </c>
      <c r="F9" t="s">
        <v>35</v>
      </c>
      <c r="H9">
        <v>10</v>
      </c>
      <c r="I9">
        <v>8</v>
      </c>
    </row>
    <row r="10" spans="1:9" x14ac:dyDescent="0.35">
      <c r="A10" s="2">
        <v>43822</v>
      </c>
      <c r="B10" s="2" t="s">
        <v>9</v>
      </c>
      <c r="C10">
        <v>100</v>
      </c>
      <c r="D10" t="s">
        <v>14</v>
      </c>
      <c r="E10" t="s">
        <v>24</v>
      </c>
      <c r="F10" t="s">
        <v>35</v>
      </c>
      <c r="H10">
        <v>10</v>
      </c>
      <c r="I10">
        <v>9</v>
      </c>
    </row>
    <row r="11" spans="1:9" x14ac:dyDescent="0.35">
      <c r="A11" s="2">
        <v>43822</v>
      </c>
      <c r="B11" s="2" t="s">
        <v>9</v>
      </c>
      <c r="C11">
        <v>80</v>
      </c>
      <c r="D11" t="s">
        <v>14</v>
      </c>
      <c r="E11" t="s">
        <v>24</v>
      </c>
      <c r="F11" t="s">
        <v>36</v>
      </c>
      <c r="H11">
        <v>5</v>
      </c>
      <c r="I11">
        <v>11</v>
      </c>
    </row>
    <row r="12" spans="1:9" x14ac:dyDescent="0.35">
      <c r="A12" s="2">
        <v>43822</v>
      </c>
      <c r="B12" s="2" t="s">
        <v>9</v>
      </c>
      <c r="C12">
        <v>95</v>
      </c>
      <c r="D12" t="s">
        <v>14</v>
      </c>
      <c r="E12" t="s">
        <v>24</v>
      </c>
      <c r="F12" t="s">
        <v>35</v>
      </c>
      <c r="H12">
        <v>8</v>
      </c>
      <c r="I12">
        <v>12</v>
      </c>
    </row>
    <row r="13" spans="1:9" hidden="1" x14ac:dyDescent="0.35">
      <c r="A13" s="2">
        <v>43822</v>
      </c>
      <c r="B13" s="2" t="s">
        <v>9</v>
      </c>
      <c r="C13">
        <v>130</v>
      </c>
      <c r="D13" t="s">
        <v>15</v>
      </c>
      <c r="E13" t="s">
        <v>27</v>
      </c>
      <c r="F13" t="s">
        <v>35</v>
      </c>
      <c r="H13">
        <v>10</v>
      </c>
      <c r="I13">
        <v>12</v>
      </c>
    </row>
    <row r="14" spans="1:9" x14ac:dyDescent="0.35">
      <c r="A14" s="2">
        <v>43822</v>
      </c>
      <c r="B14" s="2" t="s">
        <v>9</v>
      </c>
      <c r="C14">
        <v>100</v>
      </c>
      <c r="D14" t="s">
        <v>13</v>
      </c>
      <c r="E14" t="s">
        <v>24</v>
      </c>
      <c r="F14" t="s">
        <v>36</v>
      </c>
      <c r="H14">
        <v>10</v>
      </c>
      <c r="I14">
        <v>1</v>
      </c>
    </row>
    <row r="15" spans="1:9" x14ac:dyDescent="0.35">
      <c r="A15" s="2">
        <v>43822</v>
      </c>
      <c r="B15" s="2" t="s">
        <v>9</v>
      </c>
      <c r="C15">
        <v>80</v>
      </c>
      <c r="D15" t="s">
        <v>16</v>
      </c>
      <c r="E15" t="s">
        <v>28</v>
      </c>
      <c r="F15" t="s">
        <v>40</v>
      </c>
      <c r="H15">
        <v>5</v>
      </c>
      <c r="I15">
        <v>2</v>
      </c>
    </row>
    <row r="16" spans="1:9" x14ac:dyDescent="0.35">
      <c r="A16" s="2">
        <v>43822</v>
      </c>
      <c r="B16" s="2" t="s">
        <v>9</v>
      </c>
      <c r="C16">
        <v>95</v>
      </c>
      <c r="D16" t="s">
        <v>14</v>
      </c>
      <c r="E16" t="s">
        <v>24</v>
      </c>
      <c r="F16" t="s">
        <v>35</v>
      </c>
      <c r="H16">
        <v>8</v>
      </c>
      <c r="I16">
        <v>3</v>
      </c>
    </row>
    <row r="17" spans="1:9" hidden="1" x14ac:dyDescent="0.35">
      <c r="A17" s="2">
        <v>43822</v>
      </c>
      <c r="B17" s="2" t="s">
        <v>9</v>
      </c>
      <c r="C17">
        <v>120</v>
      </c>
      <c r="D17" t="s">
        <v>15</v>
      </c>
      <c r="E17" t="s">
        <v>27</v>
      </c>
      <c r="F17" t="s">
        <v>35</v>
      </c>
      <c r="H17">
        <v>10</v>
      </c>
      <c r="I17">
        <v>4</v>
      </c>
    </row>
    <row r="18" spans="1:9" x14ac:dyDescent="0.35">
      <c r="A18" s="2">
        <v>43822</v>
      </c>
      <c r="B18" s="2" t="s">
        <v>9</v>
      </c>
      <c r="C18">
        <v>95</v>
      </c>
      <c r="D18" t="s">
        <v>13</v>
      </c>
      <c r="E18" t="s">
        <v>24</v>
      </c>
      <c r="F18" t="s">
        <v>36</v>
      </c>
      <c r="H18">
        <v>8</v>
      </c>
      <c r="I18">
        <v>5</v>
      </c>
    </row>
    <row r="19" spans="1:9" hidden="1" x14ac:dyDescent="0.35">
      <c r="A19" s="2">
        <v>43823</v>
      </c>
      <c r="B19" s="2" t="s">
        <v>9</v>
      </c>
      <c r="C19">
        <v>110</v>
      </c>
      <c r="D19" t="s">
        <v>16</v>
      </c>
      <c r="E19" t="s">
        <v>39</v>
      </c>
      <c r="F19" t="s">
        <v>35</v>
      </c>
      <c r="H19">
        <v>11</v>
      </c>
      <c r="I19">
        <v>6</v>
      </c>
    </row>
    <row r="20" spans="1:9" x14ac:dyDescent="0.35">
      <c r="A20" s="2">
        <v>43823</v>
      </c>
      <c r="B20" s="2" t="s">
        <v>9</v>
      </c>
      <c r="C20">
        <v>95</v>
      </c>
      <c r="D20" t="s">
        <v>14</v>
      </c>
      <c r="E20" t="s">
        <v>24</v>
      </c>
      <c r="F20" t="s">
        <v>35</v>
      </c>
      <c r="H20">
        <v>8</v>
      </c>
      <c r="I20">
        <v>7</v>
      </c>
    </row>
    <row r="21" spans="1:9" x14ac:dyDescent="0.35">
      <c r="A21" s="2">
        <v>43823</v>
      </c>
      <c r="B21" s="2" t="s">
        <v>9</v>
      </c>
      <c r="C21">
        <v>95</v>
      </c>
      <c r="D21" t="s">
        <v>15</v>
      </c>
      <c r="E21" t="s">
        <v>39</v>
      </c>
      <c r="F21" t="s">
        <v>35</v>
      </c>
      <c r="H21">
        <v>8</v>
      </c>
      <c r="I21">
        <v>8</v>
      </c>
    </row>
    <row r="22" spans="1:9" x14ac:dyDescent="0.35">
      <c r="A22" s="2">
        <v>43823</v>
      </c>
      <c r="B22" s="2" t="s">
        <v>9</v>
      </c>
      <c r="C22">
        <v>95</v>
      </c>
      <c r="D22" t="s">
        <v>13</v>
      </c>
      <c r="E22" t="s">
        <v>24</v>
      </c>
      <c r="F22" t="s">
        <v>36</v>
      </c>
      <c r="H22">
        <v>15</v>
      </c>
      <c r="I22">
        <v>9</v>
      </c>
    </row>
    <row r="23" spans="1:9" x14ac:dyDescent="0.35">
      <c r="A23" s="2">
        <v>43823</v>
      </c>
      <c r="B23" s="2" t="s">
        <v>9</v>
      </c>
      <c r="C23">
        <v>95</v>
      </c>
      <c r="D23" t="s">
        <v>13</v>
      </c>
      <c r="E23" t="s">
        <v>28</v>
      </c>
      <c r="F23" t="s">
        <v>35</v>
      </c>
      <c r="H23">
        <v>8</v>
      </c>
      <c r="I23">
        <v>10</v>
      </c>
    </row>
    <row r="24" spans="1:9" x14ac:dyDescent="0.35">
      <c r="A24" s="2">
        <v>43823</v>
      </c>
      <c r="B24" s="2" t="s">
        <v>9</v>
      </c>
      <c r="C24">
        <v>95</v>
      </c>
      <c r="D24" t="s">
        <v>14</v>
      </c>
      <c r="E24" t="s">
        <v>24</v>
      </c>
      <c r="F24" t="s">
        <v>35</v>
      </c>
      <c r="H24">
        <v>17</v>
      </c>
      <c r="I24">
        <v>11</v>
      </c>
    </row>
    <row r="25" spans="1:9" x14ac:dyDescent="0.35">
      <c r="A25" s="2">
        <v>43823</v>
      </c>
      <c r="B25" s="2" t="s">
        <v>9</v>
      </c>
      <c r="C25">
        <v>95</v>
      </c>
      <c r="D25" t="s">
        <v>15</v>
      </c>
      <c r="E25" t="s">
        <v>24</v>
      </c>
      <c r="F25" t="s">
        <v>40</v>
      </c>
      <c r="H25">
        <v>15</v>
      </c>
      <c r="I25">
        <v>12</v>
      </c>
    </row>
    <row r="26" spans="1:9" x14ac:dyDescent="0.35">
      <c r="A26" s="2">
        <v>43823</v>
      </c>
      <c r="B26" s="2" t="s">
        <v>9</v>
      </c>
      <c r="C26">
        <v>95</v>
      </c>
      <c r="D26" t="s">
        <v>13</v>
      </c>
      <c r="E26" t="s">
        <v>24</v>
      </c>
      <c r="F26" t="s">
        <v>36</v>
      </c>
      <c r="H26">
        <v>13</v>
      </c>
      <c r="I26">
        <v>1</v>
      </c>
    </row>
    <row r="27" spans="1:9" x14ac:dyDescent="0.35">
      <c r="A27" s="2">
        <v>43823</v>
      </c>
      <c r="B27" s="2" t="s">
        <v>9</v>
      </c>
      <c r="C27">
        <v>95</v>
      </c>
      <c r="D27" t="s">
        <v>14</v>
      </c>
      <c r="E27" t="s">
        <v>28</v>
      </c>
      <c r="F27" t="s">
        <v>35</v>
      </c>
      <c r="H27">
        <v>11</v>
      </c>
      <c r="I27">
        <v>2</v>
      </c>
    </row>
    <row r="28" spans="1:9" x14ac:dyDescent="0.35">
      <c r="A28" s="2">
        <v>43823</v>
      </c>
      <c r="B28" s="2" t="s">
        <v>9</v>
      </c>
      <c r="C28">
        <v>95</v>
      </c>
      <c r="D28" t="s">
        <v>14</v>
      </c>
      <c r="E28" t="s">
        <v>24</v>
      </c>
      <c r="F28" t="s">
        <v>35</v>
      </c>
      <c r="H28">
        <v>20</v>
      </c>
      <c r="I28">
        <v>3</v>
      </c>
    </row>
    <row r="29" spans="1:9" x14ac:dyDescent="0.35">
      <c r="A29" s="2">
        <v>43823</v>
      </c>
      <c r="B29" s="2" t="s">
        <v>9</v>
      </c>
      <c r="C29">
        <v>100</v>
      </c>
      <c r="D29" t="s">
        <v>14</v>
      </c>
      <c r="E29" t="s">
        <v>30</v>
      </c>
      <c r="F29" t="s">
        <v>36</v>
      </c>
      <c r="H29">
        <v>16</v>
      </c>
      <c r="I29">
        <v>4</v>
      </c>
    </row>
    <row r="30" spans="1:9" hidden="1" x14ac:dyDescent="0.35">
      <c r="A30" s="2">
        <v>43824</v>
      </c>
      <c r="B30" s="2" t="s">
        <v>9</v>
      </c>
      <c r="C30">
        <v>140</v>
      </c>
      <c r="D30" t="s">
        <v>15</v>
      </c>
      <c r="E30" t="s">
        <v>26</v>
      </c>
      <c r="F30" t="s">
        <v>35</v>
      </c>
      <c r="H30">
        <v>18</v>
      </c>
      <c r="I30">
        <v>5</v>
      </c>
    </row>
    <row r="31" spans="1:9" hidden="1" x14ac:dyDescent="0.35">
      <c r="A31" s="2">
        <v>43824</v>
      </c>
      <c r="B31" s="2" t="s">
        <v>9</v>
      </c>
      <c r="C31">
        <v>135</v>
      </c>
      <c r="D31" t="s">
        <v>13</v>
      </c>
      <c r="E31" t="s">
        <v>27</v>
      </c>
      <c r="F31" t="s">
        <v>35</v>
      </c>
      <c r="H31">
        <v>22</v>
      </c>
      <c r="I31">
        <v>6</v>
      </c>
    </row>
    <row r="32" spans="1:9" hidden="1" x14ac:dyDescent="0.35">
      <c r="A32" s="2">
        <v>43824</v>
      </c>
      <c r="B32" s="2" t="s">
        <v>9</v>
      </c>
      <c r="C32">
        <v>120</v>
      </c>
      <c r="D32" t="s">
        <v>16</v>
      </c>
      <c r="E32" t="s">
        <v>28</v>
      </c>
      <c r="F32" t="s">
        <v>36</v>
      </c>
      <c r="H32">
        <v>25</v>
      </c>
      <c r="I32">
        <v>7</v>
      </c>
    </row>
  </sheetData>
  <autoFilter ref="A1:I32">
    <filterColumn colId="2">
      <filters>
        <filter val="100"/>
        <filter val="80"/>
        <filter val="95"/>
      </filters>
    </filterColumn>
  </autoFilter>
  <dataConsolidate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Position on course">
          <x14:formula1>
            <xm:f>Clocklist!$G$2:$G$6</xm:f>
          </x14:formula1>
          <xm:sqref>B2:B32</xm:sqref>
        </x14:dataValidation>
        <x14:dataValidation type="list" allowBlank="1" showInputMessage="1" showErrorMessage="1" promptTitle="Wind direction">
          <x14:formula1>
            <xm:f>Clocklist!$H$2:$H$6</xm:f>
          </x14:formula1>
          <xm:sqref>D2:D32</xm:sqref>
        </x14:dataValidation>
        <x14:dataValidation type="list" allowBlank="1" showInputMessage="1" showErrorMessage="1" promptTitle="Club choice">
          <x14:formula1>
            <xm:f>Clocklist!$I$2:$I$19</xm:f>
          </x14:formula1>
          <xm:sqref>E2:E32</xm:sqref>
        </x14:dataValidation>
        <x14:dataValidation type="list" allowBlank="1" showInputMessage="1" showErrorMessage="1">
          <x14:formula1>
            <xm:f>Clocklist!$J$2:$J$4</xm:f>
          </x14:formula1>
          <xm:sqref>F2:G32</xm:sqref>
        </x14:dataValidation>
        <x14:dataValidation type="list" allowBlank="1" showInputMessage="1" showErrorMessage="1">
          <x14:formula1>
            <xm:f>Clocklist!$A$3:$A$15</xm:f>
          </x14:formula1>
          <xm:sqref>I2:I32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0"/>
  <sheetViews>
    <sheetView topLeftCell="G1" workbookViewId="0">
      <selection activeCell="K2" sqref="K2"/>
    </sheetView>
  </sheetViews>
  <sheetFormatPr defaultRowHeight="14.5" x14ac:dyDescent="0.35"/>
  <cols>
    <col min="1" max="3" width="0" hidden="1" customWidth="1"/>
    <col min="4" max="4" width="12.6328125" hidden="1" customWidth="1"/>
    <col min="5" max="6" width="0" hidden="1" customWidth="1"/>
  </cols>
  <sheetData>
    <row r="1" spans="1:11" x14ac:dyDescent="0.35">
      <c r="A1" t="s">
        <v>3</v>
      </c>
      <c r="C1" t="s">
        <v>0</v>
      </c>
      <c r="D1" t="s">
        <v>2</v>
      </c>
      <c r="E1" t="s">
        <v>1</v>
      </c>
    </row>
    <row r="2" spans="1:11" x14ac:dyDescent="0.35">
      <c r="A2">
        <v>0</v>
      </c>
      <c r="B2">
        <v>90</v>
      </c>
      <c r="C2">
        <v>8</v>
      </c>
      <c r="D2" s="1">
        <f>C2*SIN(B2*PI()/180)</f>
        <v>8</v>
      </c>
      <c r="E2" s="1">
        <f>C2*COS(B2*PI()/180)</f>
        <v>4.90059381963448E-16</v>
      </c>
      <c r="G2" t="s">
        <v>9</v>
      </c>
      <c r="H2" t="s">
        <v>13</v>
      </c>
      <c r="I2" t="s">
        <v>17</v>
      </c>
      <c r="J2" t="s">
        <v>35</v>
      </c>
      <c r="K2">
        <v>2</v>
      </c>
    </row>
    <row r="3" spans="1:11" x14ac:dyDescent="0.35">
      <c r="A3">
        <v>1</v>
      </c>
      <c r="B3">
        <v>60</v>
      </c>
      <c r="C3">
        <v>8</v>
      </c>
      <c r="D3" s="1">
        <f t="shared" ref="D3:D14" si="0">C3*SIN(B3*PI()/180)</f>
        <v>6.9282032302755088</v>
      </c>
      <c r="E3" s="1">
        <f t="shared" ref="E3:E14" si="1">C3*COS(B3*PI()/180)</f>
        <v>4.0000000000000009</v>
      </c>
      <c r="G3" t="s">
        <v>10</v>
      </c>
      <c r="H3" t="s">
        <v>14</v>
      </c>
      <c r="I3" t="s">
        <v>18</v>
      </c>
      <c r="J3" t="s">
        <v>36</v>
      </c>
      <c r="K3">
        <v>20210105</v>
      </c>
    </row>
    <row r="4" spans="1:11" x14ac:dyDescent="0.35">
      <c r="A4">
        <v>2</v>
      </c>
      <c r="B4">
        <v>30</v>
      </c>
      <c r="C4">
        <v>8</v>
      </c>
      <c r="D4" s="1">
        <f t="shared" si="0"/>
        <v>3.9999999999999996</v>
      </c>
      <c r="E4" s="1">
        <f t="shared" si="1"/>
        <v>6.9282032302755097</v>
      </c>
      <c r="G4" t="s">
        <v>11</v>
      </c>
      <c r="H4" t="s">
        <v>15</v>
      </c>
      <c r="I4" t="s">
        <v>19</v>
      </c>
      <c r="J4" t="s">
        <v>40</v>
      </c>
    </row>
    <row r="5" spans="1:11" x14ac:dyDescent="0.35">
      <c r="A5">
        <v>3</v>
      </c>
      <c r="B5">
        <v>0</v>
      </c>
      <c r="C5">
        <v>8</v>
      </c>
      <c r="D5" s="1">
        <f t="shared" si="0"/>
        <v>0</v>
      </c>
      <c r="E5" s="1">
        <f t="shared" si="1"/>
        <v>8</v>
      </c>
      <c r="G5" t="s">
        <v>12</v>
      </c>
      <c r="H5" t="s">
        <v>16</v>
      </c>
      <c r="I5" t="s">
        <v>20</v>
      </c>
    </row>
    <row r="6" spans="1:11" x14ac:dyDescent="0.35">
      <c r="A6">
        <v>4</v>
      </c>
      <c r="B6">
        <v>330</v>
      </c>
      <c r="C6">
        <v>8</v>
      </c>
      <c r="D6" s="1">
        <f t="shared" si="0"/>
        <v>-4.0000000000000036</v>
      </c>
      <c r="E6" s="1">
        <f t="shared" si="1"/>
        <v>6.928203230275507</v>
      </c>
      <c r="I6" t="s">
        <v>21</v>
      </c>
    </row>
    <row r="7" spans="1:11" x14ac:dyDescent="0.35">
      <c r="A7">
        <v>5</v>
      </c>
      <c r="B7">
        <v>300</v>
      </c>
      <c r="C7">
        <v>8</v>
      </c>
      <c r="D7" s="1">
        <f t="shared" si="0"/>
        <v>-6.9282032302755088</v>
      </c>
      <c r="E7" s="1">
        <f t="shared" si="1"/>
        <v>4.0000000000000009</v>
      </c>
      <c r="I7" t="s">
        <v>22</v>
      </c>
    </row>
    <row r="8" spans="1:11" x14ac:dyDescent="0.35">
      <c r="A8">
        <v>6</v>
      </c>
      <c r="B8">
        <v>270</v>
      </c>
      <c r="C8">
        <v>8</v>
      </c>
      <c r="D8" s="1">
        <f t="shared" si="0"/>
        <v>-8</v>
      </c>
      <c r="E8" s="1">
        <f t="shared" si="1"/>
        <v>-1.470178145890344E-15</v>
      </c>
      <c r="I8" t="s">
        <v>23</v>
      </c>
    </row>
    <row r="9" spans="1:11" x14ac:dyDescent="0.35">
      <c r="A9">
        <v>7</v>
      </c>
      <c r="B9">
        <v>240</v>
      </c>
      <c r="C9">
        <v>8</v>
      </c>
      <c r="D9" s="1">
        <f t="shared" si="0"/>
        <v>-6.928203230275507</v>
      </c>
      <c r="E9" s="1">
        <f t="shared" si="1"/>
        <v>-4.0000000000000036</v>
      </c>
      <c r="I9" t="s">
        <v>24</v>
      </c>
    </row>
    <row r="10" spans="1:11" x14ac:dyDescent="0.35">
      <c r="A10">
        <v>8</v>
      </c>
      <c r="B10">
        <v>210</v>
      </c>
      <c r="C10">
        <v>8</v>
      </c>
      <c r="D10" s="1">
        <f t="shared" si="0"/>
        <v>-4.0000000000000009</v>
      </c>
      <c r="E10" s="1">
        <f t="shared" si="1"/>
        <v>-6.9282032302755088</v>
      </c>
      <c r="I10" t="s">
        <v>25</v>
      </c>
    </row>
    <row r="11" spans="1:11" x14ac:dyDescent="0.35">
      <c r="A11">
        <v>9</v>
      </c>
      <c r="B11">
        <f t="shared" ref="B11" si="2">B10+30</f>
        <v>240</v>
      </c>
      <c r="C11">
        <v>8</v>
      </c>
      <c r="D11" s="1">
        <f t="shared" si="0"/>
        <v>-6.928203230275507</v>
      </c>
      <c r="E11" s="1">
        <f t="shared" si="1"/>
        <v>-4.0000000000000036</v>
      </c>
      <c r="I11" t="s">
        <v>26</v>
      </c>
    </row>
    <row r="12" spans="1:11" x14ac:dyDescent="0.35">
      <c r="A12">
        <v>10</v>
      </c>
      <c r="B12">
        <v>150</v>
      </c>
      <c r="C12">
        <v>8</v>
      </c>
      <c r="D12" s="1">
        <f t="shared" si="0"/>
        <v>3.9999999999999996</v>
      </c>
      <c r="E12" s="1">
        <f t="shared" si="1"/>
        <v>-6.9282032302755097</v>
      </c>
      <c r="I12" t="s">
        <v>27</v>
      </c>
    </row>
    <row r="13" spans="1:11" x14ac:dyDescent="0.35">
      <c r="A13">
        <v>11</v>
      </c>
      <c r="B13">
        <v>120</v>
      </c>
      <c r="C13">
        <v>8</v>
      </c>
      <c r="D13" s="1">
        <f t="shared" si="0"/>
        <v>6.9282032302755097</v>
      </c>
      <c r="E13" s="1">
        <f t="shared" si="1"/>
        <v>-3.9999999999999982</v>
      </c>
      <c r="I13" t="s">
        <v>28</v>
      </c>
    </row>
    <row r="14" spans="1:11" x14ac:dyDescent="0.35">
      <c r="A14">
        <v>12</v>
      </c>
      <c r="B14">
        <v>90</v>
      </c>
      <c r="C14">
        <v>8</v>
      </c>
      <c r="D14" s="1">
        <f t="shared" si="0"/>
        <v>8</v>
      </c>
      <c r="E14" s="1">
        <f t="shared" si="1"/>
        <v>4.90059381963448E-16</v>
      </c>
      <c r="I14" t="s">
        <v>29</v>
      </c>
    </row>
    <row r="15" spans="1:11" x14ac:dyDescent="0.35">
      <c r="I15" t="s">
        <v>30</v>
      </c>
    </row>
    <row r="16" spans="1:11" x14ac:dyDescent="0.35">
      <c r="I16" t="s">
        <v>39</v>
      </c>
    </row>
    <row r="17" spans="9:9" x14ac:dyDescent="0.35">
      <c r="I17" t="s">
        <v>31</v>
      </c>
    </row>
    <row r="18" spans="9:9" x14ac:dyDescent="0.35">
      <c r="I18" t="s">
        <v>32</v>
      </c>
    </row>
    <row r="19" spans="9:9" x14ac:dyDescent="0.35">
      <c r="I19" t="s">
        <v>33</v>
      </c>
    </row>
    <row r="20" spans="9:9" x14ac:dyDescent="0.35">
      <c r="I20" t="s">
        <v>34</v>
      </c>
    </row>
  </sheetData>
  <sortState ref="A3:E15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Intro</vt:lpstr>
      <vt:lpstr>Plot-sample</vt:lpstr>
      <vt:lpstr>P-20200625-3</vt:lpstr>
      <vt:lpstr>P-20210105-1</vt:lpstr>
      <vt:lpstr>P-20210105-2</vt:lpstr>
      <vt:lpstr>Input</vt:lpstr>
      <vt:lpstr>Clocklist</vt:lpstr>
    </vt:vector>
  </TitlesOfParts>
  <Company>CGI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stephan.van.beeck</dc:creator>
  <cp:lastModifiedBy>stephan.van.beeck</cp:lastModifiedBy>
  <dcterms:created xsi:type="dcterms:W3CDTF">2019-12-22T08:52:26Z</dcterms:created>
  <dcterms:modified xsi:type="dcterms:W3CDTF">2021-01-05T07:34:34Z</dcterms:modified>
</cp:coreProperties>
</file>