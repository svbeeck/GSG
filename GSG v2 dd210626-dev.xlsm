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fif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stephan.van.beeck\Desktop\Bob Wedstrijd schema\"/>
    </mc:Choice>
  </mc:AlternateContent>
  <bookViews>
    <workbookView xWindow="0" yWindow="0" windowWidth="27600" windowHeight="11940" tabRatio="742" activeTab="4"/>
  </bookViews>
  <sheets>
    <sheet name="Add20190621-Test-SetG4" sheetId="302" r:id="rId1"/>
    <sheet name="Add20190621-Test-SetG3" sheetId="301" r:id="rId2"/>
    <sheet name="Add20190621-Test-SetG2" sheetId="300" r:id="rId3"/>
    <sheet name="Add20190621-Test-Set" sheetId="213" r:id="rId4"/>
    <sheet name="Input" sheetId="47" r:id="rId5"/>
    <sheet name="Review" sheetId="126" r:id="rId6"/>
    <sheet name="Source" sheetId="4" r:id="rId7"/>
    <sheet name="PGA" sheetId="7" r:id="rId8"/>
    <sheet name="Courses" sheetId="50" r:id="rId9"/>
    <sheet name="Info" sheetId="49" r:id="rId10"/>
    <sheet name="System" sheetId="133" r:id="rId11"/>
  </sheets>
  <functionGroups builtInGroupCount="18"/>
  <definedNames>
    <definedName name="_xlnm._FilterDatabase" localSheetId="3" hidden="1">'Add20190621-Test-Set'!$A$1:$M$1587</definedName>
    <definedName name="_xlnm._FilterDatabase" localSheetId="8" hidden="1">Courses!$A$1:$F$1</definedName>
    <definedName name="_xlnm._FilterDatabase" localSheetId="6" hidden="1">Source!$A$1:$BF$1073</definedName>
    <definedName name="AnalysisList">System!$C$1:$C$3</definedName>
    <definedName name="mylist">System!$N$1:$N$10</definedName>
    <definedName name="SysPlaceOnHole">System!$A$1:$A$6</definedName>
  </definedNames>
  <calcPr calcId="162913"/>
  <pivotCaches>
    <pivotCache cacheId="215" r:id="rId12"/>
    <pivotCache cacheId="220" r:id="rId13"/>
    <pivotCache cacheId="224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Q17" i="4" l="1"/>
  <c r="M17" i="4"/>
  <c r="I17" i="4"/>
  <c r="E17" i="4" l="1"/>
  <c r="M486" i="213"/>
  <c r="M490" i="213"/>
  <c r="M493" i="213"/>
  <c r="M498" i="213"/>
  <c r="M503" i="213"/>
  <c r="M508" i="213"/>
  <c r="M512" i="213"/>
  <c r="M516" i="213"/>
  <c r="M519" i="213"/>
  <c r="M416" i="213"/>
  <c r="M420" i="213"/>
  <c r="M424" i="213"/>
  <c r="M428" i="213"/>
  <c r="M431" i="213"/>
  <c r="M435" i="213"/>
  <c r="M438" i="213"/>
  <c r="M441" i="213"/>
  <c r="M445" i="213"/>
  <c r="M448" i="213"/>
  <c r="M453" i="213"/>
  <c r="M457" i="213"/>
  <c r="M462" i="213"/>
  <c r="M466" i="213"/>
  <c r="M471" i="213"/>
  <c r="M475" i="213"/>
  <c r="M478" i="213"/>
  <c r="M482" i="213"/>
  <c r="M381" i="213"/>
  <c r="M384" i="213"/>
  <c r="M388" i="213"/>
  <c r="M392" i="213"/>
  <c r="M396" i="213"/>
  <c r="M401" i="213"/>
  <c r="M405" i="213"/>
  <c r="M408" i="213"/>
  <c r="M412" i="213"/>
  <c r="M301" i="213"/>
  <c r="M304" i="213"/>
  <c r="M307" i="213"/>
  <c r="M311" i="213"/>
  <c r="M314" i="213"/>
  <c r="M319" i="213"/>
  <c r="M326" i="213"/>
  <c r="M330" i="213"/>
  <c r="M334" i="213"/>
  <c r="M340" i="213"/>
  <c r="M343" i="213"/>
  <c r="M347" i="213"/>
  <c r="M352" i="213"/>
  <c r="M356" i="213"/>
  <c r="M360" i="213"/>
  <c r="M366" i="213"/>
  <c r="M372" i="213"/>
  <c r="M376" i="213"/>
  <c r="M153" i="213"/>
  <c r="M158" i="213"/>
  <c r="M162" i="213"/>
  <c r="M167" i="213"/>
  <c r="M172" i="213"/>
  <c r="M78" i="213"/>
  <c r="M82" i="213"/>
  <c r="M87" i="213"/>
  <c r="M92" i="213"/>
  <c r="M96" i="213"/>
  <c r="M100" i="213"/>
  <c r="M102" i="213"/>
  <c r="M107" i="213"/>
  <c r="M111" i="213"/>
  <c r="M114" i="213"/>
  <c r="M119" i="213"/>
  <c r="M123" i="213"/>
  <c r="M127" i="213"/>
  <c r="M132" i="213"/>
  <c r="M134" i="213"/>
  <c r="M140" i="213"/>
  <c r="M144" i="213"/>
  <c r="M149" i="213"/>
  <c r="M4" i="213"/>
  <c r="M9" i="213"/>
  <c r="M12" i="213"/>
  <c r="M17" i="213"/>
  <c r="M21" i="213"/>
  <c r="M27" i="213"/>
  <c r="M31" i="213"/>
  <c r="M34" i="213"/>
  <c r="M39" i="213"/>
  <c r="M44" i="213"/>
  <c r="M47" i="213"/>
  <c r="M51" i="213"/>
  <c r="M55" i="213"/>
  <c r="M59" i="213"/>
  <c r="M64" i="213"/>
  <c r="M72" i="213"/>
  <c r="M75" i="213"/>
  <c r="M67" i="213"/>
  <c r="M216" i="213"/>
  <c r="M211" i="213"/>
  <c r="M207" i="213"/>
  <c r="M202" i="213"/>
  <c r="M197" i="213"/>
  <c r="M193" i="213"/>
  <c r="M188" i="213"/>
  <c r="M181" i="213"/>
  <c r="M177" i="213"/>
  <c r="M296" i="213"/>
  <c r="M292" i="213"/>
  <c r="M288" i="213"/>
  <c r="M284" i="213"/>
  <c r="M279" i="213"/>
  <c r="M275" i="213"/>
  <c r="M270" i="213"/>
  <c r="M266" i="213"/>
  <c r="M262" i="213"/>
  <c r="M256" i="213"/>
  <c r="M251" i="213"/>
  <c r="M247" i="213"/>
  <c r="M242" i="213"/>
  <c r="M237" i="213"/>
  <c r="M232" i="213"/>
  <c r="M228" i="213"/>
  <c r="M225" i="213"/>
  <c r="M220" i="213"/>
  <c r="M485" i="213"/>
  <c r="M489" i="213"/>
  <c r="M492" i="213"/>
  <c r="M497" i="213"/>
  <c r="M502" i="213"/>
  <c r="M507" i="213"/>
  <c r="M511" i="213"/>
  <c r="M515" i="213"/>
  <c r="M518" i="213"/>
  <c r="M415" i="213"/>
  <c r="M419" i="213"/>
  <c r="M423" i="213"/>
  <c r="M427" i="213"/>
  <c r="M430" i="213"/>
  <c r="M434" i="213"/>
  <c r="M437" i="213"/>
  <c r="M440" i="213"/>
  <c r="M444" i="213"/>
  <c r="M447" i="213"/>
  <c r="M452" i="213"/>
  <c r="M456" i="213"/>
  <c r="M461" i="213"/>
  <c r="M465" i="213"/>
  <c r="M470" i="213"/>
  <c r="M474" i="213"/>
  <c r="M477" i="213"/>
  <c r="M481" i="213"/>
  <c r="M380" i="213"/>
  <c r="M383" i="213"/>
  <c r="M387" i="213"/>
  <c r="M391" i="213"/>
  <c r="M395" i="213"/>
  <c r="M400" i="213"/>
  <c r="M404" i="213"/>
  <c r="M407" i="213"/>
  <c r="M411" i="213"/>
  <c r="M300" i="213"/>
  <c r="M303" i="213"/>
  <c r="M306" i="213"/>
  <c r="M310" i="213"/>
  <c r="M313" i="213"/>
  <c r="M318" i="213"/>
  <c r="M325" i="213"/>
  <c r="M329" i="213"/>
  <c r="M333" i="213"/>
  <c r="M338" i="213"/>
  <c r="M342" i="213"/>
  <c r="M346" i="213"/>
  <c r="M351" i="213"/>
  <c r="M355" i="213"/>
  <c r="M359" i="213"/>
  <c r="M365" i="213"/>
  <c r="M371" i="213"/>
  <c r="M375" i="213"/>
  <c r="M152" i="213"/>
  <c r="M157" i="213"/>
  <c r="M161" i="213"/>
  <c r="M166" i="213"/>
  <c r="M171" i="213"/>
  <c r="M77" i="213"/>
  <c r="M81" i="213"/>
  <c r="M86" i="213"/>
  <c r="M91" i="213"/>
  <c r="M95" i="213"/>
  <c r="M99" i="213"/>
  <c r="M101" i="213"/>
  <c r="M106" i="213"/>
  <c r="M110" i="213"/>
  <c r="M113" i="213"/>
  <c r="M118" i="213"/>
  <c r="M122" i="213"/>
  <c r="M126" i="213"/>
  <c r="M131" i="213"/>
  <c r="M133" i="213"/>
  <c r="M139" i="213"/>
  <c r="M143" i="213"/>
  <c r="M148" i="213"/>
  <c r="M3" i="213"/>
  <c r="M8" i="213"/>
  <c r="M11" i="213"/>
  <c r="M16" i="213"/>
  <c r="M20" i="213"/>
  <c r="M26" i="213"/>
  <c r="M30" i="213"/>
  <c r="M33" i="213"/>
  <c r="M38" i="213"/>
  <c r="M43" i="213"/>
  <c r="M46" i="213"/>
  <c r="M50" i="213"/>
  <c r="M54" i="213"/>
  <c r="M58" i="213"/>
  <c r="M63" i="213"/>
  <c r="M71" i="213"/>
  <c r="M74" i="213"/>
  <c r="M66" i="213"/>
  <c r="M215" i="213"/>
  <c r="M210" i="213"/>
  <c r="M206" i="213"/>
  <c r="M201" i="213"/>
  <c r="M196" i="213"/>
  <c r="M192" i="213"/>
  <c r="M187" i="213"/>
  <c r="M180" i="213"/>
  <c r="M175" i="213"/>
  <c r="M295" i="213"/>
  <c r="M291" i="213"/>
  <c r="M287" i="213"/>
  <c r="M283" i="213"/>
  <c r="M278" i="213"/>
  <c r="M274" i="213"/>
  <c r="M269" i="213"/>
  <c r="M265" i="213"/>
  <c r="M261" i="213"/>
  <c r="M255" i="213"/>
  <c r="M250" i="213"/>
  <c r="M246" i="213"/>
  <c r="M241" i="213"/>
  <c r="M236" i="213"/>
  <c r="M231" i="213"/>
  <c r="M227" i="213"/>
  <c r="M224" i="213"/>
  <c r="M219" i="213"/>
  <c r="M484" i="213"/>
  <c r="M488" i="213"/>
  <c r="M491" i="213"/>
  <c r="M496" i="213"/>
  <c r="M501" i="213"/>
  <c r="M506" i="213"/>
  <c r="M510" i="213"/>
  <c r="M514" i="213"/>
  <c r="M517" i="213"/>
  <c r="M414" i="213"/>
  <c r="M418" i="213"/>
  <c r="M422" i="213"/>
  <c r="M426" i="213"/>
  <c r="M429" i="213"/>
  <c r="M433" i="213"/>
  <c r="M436" i="213"/>
  <c r="M439" i="213"/>
  <c r="M443" i="213"/>
  <c r="M446" i="213"/>
  <c r="M451" i="213"/>
  <c r="M455" i="213"/>
  <c r="M460" i="213"/>
  <c r="M464" i="213"/>
  <c r="M469" i="213"/>
  <c r="M473" i="213"/>
  <c r="M476" i="213"/>
  <c r="M480" i="213"/>
  <c r="M379" i="213"/>
  <c r="M382" i="213"/>
  <c r="M386" i="213"/>
  <c r="M390" i="213"/>
  <c r="M394" i="213"/>
  <c r="M399" i="213"/>
  <c r="M403" i="213"/>
  <c r="M406" i="213"/>
  <c r="M410" i="213"/>
  <c r="M299" i="213"/>
  <c r="M302" i="213"/>
  <c r="M305" i="213"/>
  <c r="M309" i="213"/>
  <c r="M312" i="213"/>
  <c r="M317" i="213"/>
  <c r="M324" i="213"/>
  <c r="M328" i="213"/>
  <c r="M332" i="213"/>
  <c r="M339" i="213"/>
  <c r="M341" i="213"/>
  <c r="M345" i="213"/>
  <c r="M350" i="213"/>
  <c r="M354" i="213"/>
  <c r="M358" i="213"/>
  <c r="M364" i="213"/>
  <c r="M370" i="213"/>
  <c r="M374" i="213"/>
  <c r="M151" i="213"/>
  <c r="M156" i="213"/>
  <c r="M160" i="213"/>
  <c r="M165" i="213"/>
  <c r="M170" i="213"/>
  <c r="M76" i="213"/>
  <c r="M80" i="213"/>
  <c r="M85" i="213"/>
  <c r="M90" i="213"/>
  <c r="M94" i="213"/>
  <c r="M98" i="213"/>
  <c r="M105" i="213"/>
  <c r="M109" i="213"/>
  <c r="M112" i="213"/>
  <c r="M117" i="213"/>
  <c r="M121" i="213"/>
  <c r="M125" i="213"/>
  <c r="M130" i="213"/>
  <c r="M138" i="213"/>
  <c r="M142" i="213"/>
  <c r="M147" i="213"/>
  <c r="M2" i="213"/>
  <c r="M7" i="213"/>
  <c r="M10" i="213"/>
  <c r="M15" i="213"/>
  <c r="M19" i="213"/>
  <c r="M25" i="213"/>
  <c r="M29" i="213"/>
  <c r="M32" i="213"/>
  <c r="M37" i="213"/>
  <c r="M42" i="213"/>
  <c r="M45" i="213"/>
  <c r="M49" i="213"/>
  <c r="M53" i="213"/>
  <c r="M57" i="213"/>
  <c r="M62" i="213"/>
  <c r="M70" i="213"/>
  <c r="M73" i="213"/>
  <c r="M65" i="213"/>
  <c r="M214" i="213"/>
  <c r="M209" i="213"/>
  <c r="M205" i="213"/>
  <c r="M200" i="213"/>
  <c r="M195" i="213"/>
  <c r="M191" i="213"/>
  <c r="M186" i="213"/>
  <c r="M179" i="213"/>
  <c r="M176" i="213"/>
  <c r="M294" i="213"/>
  <c r="M290" i="213"/>
  <c r="M286" i="213"/>
  <c r="M282" i="213"/>
  <c r="M277" i="213"/>
  <c r="M273" i="213"/>
  <c r="M268" i="213"/>
  <c r="M264" i="213"/>
  <c r="M260" i="213"/>
  <c r="M254" i="213"/>
  <c r="M249" i="213"/>
  <c r="M245" i="213"/>
  <c r="M240" i="213"/>
  <c r="M235" i="213"/>
  <c r="M230" i="213"/>
  <c r="M226" i="213"/>
  <c r="M223" i="213"/>
  <c r="M218" i="213"/>
  <c r="M483" i="213"/>
  <c r="M487" i="213"/>
  <c r="M495" i="213"/>
  <c r="M500" i="213"/>
  <c r="M505" i="213"/>
  <c r="M509" i="213"/>
  <c r="M513" i="213"/>
  <c r="M413" i="213"/>
  <c r="M417" i="213"/>
  <c r="M421" i="213"/>
  <c r="M425" i="213"/>
  <c r="M432" i="213"/>
  <c r="M442" i="213"/>
  <c r="M450" i="213"/>
  <c r="M454" i="213"/>
  <c r="M459" i="213"/>
  <c r="M463" i="213"/>
  <c r="M468" i="213"/>
  <c r="M472" i="213"/>
  <c r="M479" i="213"/>
  <c r="M378" i="213"/>
  <c r="M385" i="213"/>
  <c r="M389" i="213"/>
  <c r="M393" i="213"/>
  <c r="M398" i="213"/>
  <c r="M402" i="213"/>
  <c r="M409" i="213"/>
  <c r="M298" i="213"/>
  <c r="M308" i="213"/>
  <c r="M316" i="213"/>
  <c r="M323" i="213"/>
  <c r="M327" i="213"/>
  <c r="M331" i="213"/>
  <c r="M337" i="213"/>
  <c r="M344" i="213"/>
  <c r="M349" i="213"/>
  <c r="M353" i="213"/>
  <c r="M357" i="213"/>
  <c r="M363" i="213"/>
  <c r="M369" i="213"/>
  <c r="M373" i="213"/>
  <c r="M150" i="213"/>
  <c r="M155" i="213"/>
  <c r="M159" i="213"/>
  <c r="M164" i="213"/>
  <c r="M169" i="213"/>
  <c r="M79" i="213"/>
  <c r="M84" i="213"/>
  <c r="M89" i="213"/>
  <c r="M93" i="213"/>
  <c r="M97" i="213"/>
  <c r="M104" i="213"/>
  <c r="M108" i="213"/>
  <c r="M116" i="213"/>
  <c r="M120" i="213"/>
  <c r="M124" i="213"/>
  <c r="M129" i="213"/>
  <c r="M137" i="213"/>
  <c r="M141" i="213"/>
  <c r="M146" i="213"/>
  <c r="M6" i="213"/>
  <c r="M14" i="213"/>
  <c r="M18" i="213"/>
  <c r="M24" i="213"/>
  <c r="M28" i="213"/>
  <c r="M36" i="213"/>
  <c r="M41" i="213"/>
  <c r="M48" i="213"/>
  <c r="M52" i="213"/>
  <c r="M56" i="213"/>
  <c r="M61" i="213"/>
  <c r="M69" i="213"/>
  <c r="M213" i="213"/>
  <c r="M208" i="213"/>
  <c r="M204" i="213"/>
  <c r="M199" i="213"/>
  <c r="M194" i="213"/>
  <c r="M190" i="213"/>
  <c r="M185" i="213"/>
  <c r="M178" i="213"/>
  <c r="M174" i="213"/>
  <c r="M293" i="213"/>
  <c r="M289" i="213"/>
  <c r="M285" i="213"/>
  <c r="M281" i="213"/>
  <c r="M276" i="213"/>
  <c r="M272" i="213"/>
  <c r="M267" i="213"/>
  <c r="M263" i="213"/>
  <c r="M259" i="213"/>
  <c r="M253" i="213"/>
  <c r="M248" i="213"/>
  <c r="M244" i="213"/>
  <c r="M239" i="213"/>
  <c r="M234" i="213"/>
  <c r="M229" i="213"/>
  <c r="M222" i="213"/>
  <c r="M217" i="213"/>
  <c r="M494" i="213"/>
  <c r="M499" i="213"/>
  <c r="M504" i="213"/>
  <c r="M449" i="213"/>
  <c r="M458" i="213"/>
  <c r="M467" i="213"/>
  <c r="M377" i="213"/>
  <c r="M397" i="213"/>
  <c r="M297" i="213"/>
  <c r="M315" i="213"/>
  <c r="M322" i="213"/>
  <c r="M336" i="213"/>
  <c r="M348" i="213"/>
  <c r="M362" i="213"/>
  <c r="M368" i="213"/>
  <c r="M154" i="213"/>
  <c r="M163" i="213"/>
  <c r="M168" i="213"/>
  <c r="M83" i="213"/>
  <c r="M88" i="213"/>
  <c r="M103" i="213"/>
  <c r="M115" i="213"/>
  <c r="M128" i="213"/>
  <c r="M136" i="213"/>
  <c r="M145" i="213"/>
  <c r="M5" i="213"/>
  <c r="M13" i="213"/>
  <c r="M23" i="213"/>
  <c r="M35" i="213"/>
  <c r="M40" i="213"/>
  <c r="M60" i="213"/>
  <c r="M68" i="213"/>
  <c r="M212" i="213"/>
  <c r="M203" i="213"/>
  <c r="M198" i="213"/>
  <c r="M189" i="213"/>
  <c r="M184" i="213"/>
  <c r="M173" i="213"/>
  <c r="M280" i="213"/>
  <c r="M271" i="213"/>
  <c r="M258" i="213"/>
  <c r="M252" i="213"/>
  <c r="M243" i="213"/>
  <c r="M238" i="213"/>
  <c r="M233" i="213"/>
  <c r="M221" i="213"/>
  <c r="M321" i="213"/>
  <c r="M335" i="213"/>
  <c r="M361" i="213"/>
  <c r="M367" i="213"/>
  <c r="M135" i="213"/>
  <c r="M22" i="213"/>
  <c r="M183" i="213"/>
  <c r="M257" i="213"/>
  <c r="M320" i="213"/>
  <c r="M182" i="213"/>
  <c r="L486" i="213"/>
  <c r="L490" i="213"/>
  <c r="L493" i="213"/>
  <c r="L498" i="213"/>
  <c r="L503" i="213"/>
  <c r="L508" i="213"/>
  <c r="L512" i="213"/>
  <c r="L516" i="213"/>
  <c r="L519" i="213"/>
  <c r="L416" i="213"/>
  <c r="L420" i="213"/>
  <c r="L424" i="213"/>
  <c r="L428" i="213"/>
  <c r="L431" i="213"/>
  <c r="L435" i="213"/>
  <c r="L438" i="213"/>
  <c r="L441" i="213"/>
  <c r="L445" i="213"/>
  <c r="L448" i="213"/>
  <c r="L453" i="213"/>
  <c r="L457" i="213"/>
  <c r="L462" i="213"/>
  <c r="L466" i="213"/>
  <c r="L471" i="213"/>
  <c r="L475" i="213"/>
  <c r="L478" i="213"/>
  <c r="L482" i="213"/>
  <c r="L381" i="213"/>
  <c r="L384" i="213"/>
  <c r="L388" i="213"/>
  <c r="L392" i="213"/>
  <c r="L396" i="213"/>
  <c r="L401" i="213"/>
  <c r="L405" i="213"/>
  <c r="L408" i="213"/>
  <c r="L412" i="213"/>
  <c r="L301" i="213"/>
  <c r="L304" i="213"/>
  <c r="L307" i="213"/>
  <c r="L311" i="213"/>
  <c r="L314" i="213"/>
  <c r="L319" i="213"/>
  <c r="L326" i="213"/>
  <c r="L330" i="213"/>
  <c r="L334" i="213"/>
  <c r="L340" i="213"/>
  <c r="L343" i="213"/>
  <c r="L347" i="213"/>
  <c r="L352" i="213"/>
  <c r="L356" i="213"/>
  <c r="L360" i="213"/>
  <c r="L366" i="213"/>
  <c r="L372" i="213"/>
  <c r="L376" i="213"/>
  <c r="L153" i="213"/>
  <c r="L158" i="213"/>
  <c r="L162" i="213"/>
  <c r="L167" i="213"/>
  <c r="L172" i="213"/>
  <c r="L78" i="213"/>
  <c r="L82" i="213"/>
  <c r="L87" i="213"/>
  <c r="L92" i="213"/>
  <c r="L96" i="213"/>
  <c r="L100" i="213"/>
  <c r="L102" i="213"/>
  <c r="L107" i="213"/>
  <c r="L111" i="213"/>
  <c r="L114" i="213"/>
  <c r="L119" i="213"/>
  <c r="L123" i="213"/>
  <c r="L127" i="213"/>
  <c r="L132" i="213"/>
  <c r="L134" i="213"/>
  <c r="L140" i="213"/>
  <c r="L144" i="213"/>
  <c r="L149" i="213"/>
  <c r="L4" i="213"/>
  <c r="L9" i="213"/>
  <c r="L12" i="213"/>
  <c r="L17" i="213"/>
  <c r="L21" i="213"/>
  <c r="L27" i="213"/>
  <c r="L31" i="213"/>
  <c r="L34" i="213"/>
  <c r="L39" i="213"/>
  <c r="L44" i="213"/>
  <c r="L47" i="213"/>
  <c r="L51" i="213"/>
  <c r="L55" i="213"/>
  <c r="L59" i="213"/>
  <c r="L64" i="213"/>
  <c r="L72" i="213"/>
  <c r="L75" i="213"/>
  <c r="L67" i="213"/>
  <c r="L216" i="213"/>
  <c r="L211" i="213"/>
  <c r="L207" i="213"/>
  <c r="L202" i="213"/>
  <c r="L197" i="213"/>
  <c r="L193" i="213"/>
  <c r="L188" i="213"/>
  <c r="L181" i="213"/>
  <c r="L177" i="213"/>
  <c r="L296" i="213"/>
  <c r="L292" i="213"/>
  <c r="L288" i="213"/>
  <c r="L284" i="213"/>
  <c r="L279" i="213"/>
  <c r="L275" i="213"/>
  <c r="L270" i="213"/>
  <c r="L266" i="213"/>
  <c r="L262" i="213"/>
  <c r="L256" i="213"/>
  <c r="L251" i="213"/>
  <c r="L247" i="213"/>
  <c r="L242" i="213"/>
  <c r="L237" i="213"/>
  <c r="L232" i="213"/>
  <c r="L228" i="213"/>
  <c r="L225" i="213"/>
  <c r="L220" i="213"/>
  <c r="L485" i="213"/>
  <c r="L489" i="213"/>
  <c r="L492" i="213"/>
  <c r="L497" i="213"/>
  <c r="L502" i="213"/>
  <c r="L507" i="213"/>
  <c r="L511" i="213"/>
  <c r="L515" i="213"/>
  <c r="L518" i="213"/>
  <c r="L415" i="213"/>
  <c r="L419" i="213"/>
  <c r="L423" i="213"/>
  <c r="L427" i="213"/>
  <c r="L430" i="213"/>
  <c r="L434" i="213"/>
  <c r="L437" i="213"/>
  <c r="L440" i="213"/>
  <c r="L444" i="213"/>
  <c r="L447" i="213"/>
  <c r="L452" i="213"/>
  <c r="L456" i="213"/>
  <c r="L461" i="213"/>
  <c r="L465" i="213"/>
  <c r="L470" i="213"/>
  <c r="L474" i="213"/>
  <c r="L477" i="213"/>
  <c r="L481" i="213"/>
  <c r="L380" i="213"/>
  <c r="L383" i="213"/>
  <c r="L387" i="213"/>
  <c r="L391" i="213"/>
  <c r="L395" i="213"/>
  <c r="L400" i="213"/>
  <c r="L404" i="213"/>
  <c r="L407" i="213"/>
  <c r="L411" i="213"/>
  <c r="L300" i="213"/>
  <c r="L303" i="213"/>
  <c r="L306" i="213"/>
  <c r="L310" i="213"/>
  <c r="L313" i="213"/>
  <c r="L318" i="213"/>
  <c r="L325" i="213"/>
  <c r="L329" i="213"/>
  <c r="L333" i="213"/>
  <c r="L338" i="213"/>
  <c r="L342" i="213"/>
  <c r="L346" i="213"/>
  <c r="L351" i="213"/>
  <c r="L355" i="213"/>
  <c r="L359" i="213"/>
  <c r="L365" i="213"/>
  <c r="L371" i="213"/>
  <c r="L375" i="213"/>
  <c r="L152" i="213"/>
  <c r="L157" i="213"/>
  <c r="L161" i="213"/>
  <c r="L166" i="213"/>
  <c r="L171" i="213"/>
  <c r="L77" i="213"/>
  <c r="L81" i="213"/>
  <c r="L86" i="213"/>
  <c r="L91" i="213"/>
  <c r="L95" i="213"/>
  <c r="L99" i="213"/>
  <c r="L101" i="213"/>
  <c r="L106" i="213"/>
  <c r="L110" i="213"/>
  <c r="L113" i="213"/>
  <c r="L118" i="213"/>
  <c r="L122" i="213"/>
  <c r="L126" i="213"/>
  <c r="L131" i="213"/>
  <c r="L133" i="213"/>
  <c r="L139" i="213"/>
  <c r="L143" i="213"/>
  <c r="L148" i="213"/>
  <c r="L3" i="213"/>
  <c r="L8" i="213"/>
  <c r="L11" i="213"/>
  <c r="L16" i="213"/>
  <c r="L20" i="213"/>
  <c r="L26" i="213"/>
  <c r="L30" i="213"/>
  <c r="L33" i="213"/>
  <c r="L38" i="213"/>
  <c r="L43" i="213"/>
  <c r="L46" i="213"/>
  <c r="L50" i="213"/>
  <c r="L54" i="213"/>
  <c r="L58" i="213"/>
  <c r="L63" i="213"/>
  <c r="L71" i="213"/>
  <c r="L74" i="213"/>
  <c r="L66" i="213"/>
  <c r="L215" i="213"/>
  <c r="L210" i="213"/>
  <c r="L206" i="213"/>
  <c r="L201" i="213"/>
  <c r="L196" i="213"/>
  <c r="L192" i="213"/>
  <c r="L187" i="213"/>
  <c r="L180" i="213"/>
  <c r="L175" i="213"/>
  <c r="L295" i="213"/>
  <c r="L291" i="213"/>
  <c r="L287" i="213"/>
  <c r="L283" i="213"/>
  <c r="L278" i="213"/>
  <c r="L274" i="213"/>
  <c r="L269" i="213"/>
  <c r="L265" i="213"/>
  <c r="L261" i="213"/>
  <c r="L255" i="213"/>
  <c r="L250" i="213"/>
  <c r="L246" i="213"/>
  <c r="L241" i="213"/>
  <c r="L236" i="213"/>
  <c r="L231" i="213"/>
  <c r="L227" i="213"/>
  <c r="L224" i="213"/>
  <c r="L219" i="213"/>
  <c r="L484" i="213"/>
  <c r="L488" i="213"/>
  <c r="L491" i="213"/>
  <c r="L496" i="213"/>
  <c r="L501" i="213"/>
  <c r="L506" i="213"/>
  <c r="L510" i="213"/>
  <c r="L514" i="213"/>
  <c r="L517" i="213"/>
  <c r="L414" i="213"/>
  <c r="L418" i="213"/>
  <c r="L422" i="213"/>
  <c r="L426" i="213"/>
  <c r="L429" i="213"/>
  <c r="L433" i="213"/>
  <c r="L436" i="213"/>
  <c r="L439" i="213"/>
  <c r="L443" i="213"/>
  <c r="L446" i="213"/>
  <c r="L451" i="213"/>
  <c r="L455" i="213"/>
  <c r="L460" i="213"/>
  <c r="L464" i="213"/>
  <c r="L469" i="213"/>
  <c r="L473" i="213"/>
  <c r="L476" i="213"/>
  <c r="L480" i="213"/>
  <c r="L379" i="213"/>
  <c r="L382" i="213"/>
  <c r="L386" i="213"/>
  <c r="L390" i="213"/>
  <c r="L394" i="213"/>
  <c r="L399" i="213"/>
  <c r="L403" i="213"/>
  <c r="L406" i="213"/>
  <c r="L410" i="213"/>
  <c r="L299" i="213"/>
  <c r="L302" i="213"/>
  <c r="L305" i="213"/>
  <c r="L309" i="213"/>
  <c r="L312" i="213"/>
  <c r="L317" i="213"/>
  <c r="L324" i="213"/>
  <c r="L328" i="213"/>
  <c r="L332" i="213"/>
  <c r="L339" i="213"/>
  <c r="L341" i="213"/>
  <c r="L345" i="213"/>
  <c r="L350" i="213"/>
  <c r="L354" i="213"/>
  <c r="L358" i="213"/>
  <c r="L364" i="213"/>
  <c r="L370" i="213"/>
  <c r="L374" i="213"/>
  <c r="L151" i="213"/>
  <c r="L156" i="213"/>
  <c r="L160" i="213"/>
  <c r="L165" i="213"/>
  <c r="L170" i="213"/>
  <c r="L76" i="213"/>
  <c r="L80" i="213"/>
  <c r="L85" i="213"/>
  <c r="L90" i="213"/>
  <c r="L94" i="213"/>
  <c r="L98" i="213"/>
  <c r="L105" i="213"/>
  <c r="L109" i="213"/>
  <c r="L112" i="213"/>
  <c r="L117" i="213"/>
  <c r="L121" i="213"/>
  <c r="L125" i="213"/>
  <c r="L130" i="213"/>
  <c r="L138" i="213"/>
  <c r="L142" i="213"/>
  <c r="L147" i="213"/>
  <c r="L2" i="213"/>
  <c r="L7" i="213"/>
  <c r="L10" i="213"/>
  <c r="L15" i="213"/>
  <c r="L19" i="213"/>
  <c r="L25" i="213"/>
  <c r="L29" i="213"/>
  <c r="L32" i="213"/>
  <c r="L37" i="213"/>
  <c r="L42" i="213"/>
  <c r="L45" i="213"/>
  <c r="L49" i="213"/>
  <c r="L53" i="213"/>
  <c r="L57" i="213"/>
  <c r="L62" i="213"/>
  <c r="L70" i="213"/>
  <c r="L73" i="213"/>
  <c r="L65" i="213"/>
  <c r="L214" i="213"/>
  <c r="L209" i="213"/>
  <c r="L205" i="213"/>
  <c r="L200" i="213"/>
  <c r="L195" i="213"/>
  <c r="L191" i="213"/>
  <c r="L186" i="213"/>
  <c r="L179" i="213"/>
  <c r="L176" i="213"/>
  <c r="L294" i="213"/>
  <c r="L290" i="213"/>
  <c r="L286" i="213"/>
  <c r="L282" i="213"/>
  <c r="L277" i="213"/>
  <c r="L273" i="213"/>
  <c r="L268" i="213"/>
  <c r="L264" i="213"/>
  <c r="L260" i="213"/>
  <c r="L254" i="213"/>
  <c r="L249" i="213"/>
  <c r="L245" i="213"/>
  <c r="L240" i="213"/>
  <c r="L235" i="213"/>
  <c r="L230" i="213"/>
  <c r="L226" i="213"/>
  <c r="L223" i="213"/>
  <c r="L218" i="213"/>
  <c r="L483" i="213"/>
  <c r="L487" i="213"/>
  <c r="L495" i="213"/>
  <c r="L500" i="213"/>
  <c r="L505" i="213"/>
  <c r="L509" i="213"/>
  <c r="L513" i="213"/>
  <c r="L413" i="213"/>
  <c r="L417" i="213"/>
  <c r="L421" i="213"/>
  <c r="L425" i="213"/>
  <c r="L432" i="213"/>
  <c r="L442" i="213"/>
  <c r="L450" i="213"/>
  <c r="L454" i="213"/>
  <c r="L459" i="213"/>
  <c r="L463" i="213"/>
  <c r="L468" i="213"/>
  <c r="L472" i="213"/>
  <c r="L479" i="213"/>
  <c r="L378" i="213"/>
  <c r="L385" i="213"/>
  <c r="L389" i="213"/>
  <c r="L393" i="213"/>
  <c r="L398" i="213"/>
  <c r="L402" i="213"/>
  <c r="L409" i="213"/>
  <c r="L298" i="213"/>
  <c r="L308" i="213"/>
  <c r="L316" i="213"/>
  <c r="L323" i="213"/>
  <c r="L327" i="213"/>
  <c r="L331" i="213"/>
  <c r="L337" i="213"/>
  <c r="L344" i="213"/>
  <c r="L349" i="213"/>
  <c r="L353" i="213"/>
  <c r="L357" i="213"/>
  <c r="L363" i="213"/>
  <c r="L369" i="213"/>
  <c r="L373" i="213"/>
  <c r="L150" i="213"/>
  <c r="L155" i="213"/>
  <c r="L159" i="213"/>
  <c r="L164" i="213"/>
  <c r="L169" i="213"/>
  <c r="L79" i="213"/>
  <c r="L84" i="213"/>
  <c r="L89" i="213"/>
  <c r="L93" i="213"/>
  <c r="L97" i="213"/>
  <c r="L104" i="213"/>
  <c r="L108" i="213"/>
  <c r="L116" i="213"/>
  <c r="L120" i="213"/>
  <c r="L124" i="213"/>
  <c r="L129" i="213"/>
  <c r="L137" i="213"/>
  <c r="L141" i="213"/>
  <c r="L146" i="213"/>
  <c r="L6" i="213"/>
  <c r="L14" i="213"/>
  <c r="L18" i="213"/>
  <c r="L24" i="213"/>
  <c r="L28" i="213"/>
  <c r="L36" i="213"/>
  <c r="L41" i="213"/>
  <c r="L48" i="213"/>
  <c r="L52" i="213"/>
  <c r="L56" i="213"/>
  <c r="L61" i="213"/>
  <c r="L69" i="213"/>
  <c r="L213" i="213"/>
  <c r="L208" i="213"/>
  <c r="L204" i="213"/>
  <c r="L199" i="213"/>
  <c r="L194" i="213"/>
  <c r="L190" i="213"/>
  <c r="L185" i="213"/>
  <c r="L178" i="213"/>
  <c r="L174" i="213"/>
  <c r="L293" i="213"/>
  <c r="L289" i="213"/>
  <c r="L285" i="213"/>
  <c r="L281" i="213"/>
  <c r="L276" i="213"/>
  <c r="L272" i="213"/>
  <c r="L267" i="213"/>
  <c r="L263" i="213"/>
  <c r="L259" i="213"/>
  <c r="L253" i="213"/>
  <c r="L248" i="213"/>
  <c r="L244" i="213"/>
  <c r="L239" i="213"/>
  <c r="L234" i="213"/>
  <c r="L229" i="213"/>
  <c r="L222" i="213"/>
  <c r="L217" i="213"/>
  <c r="L494" i="213"/>
  <c r="L499" i="213"/>
  <c r="L504" i="213"/>
  <c r="L449" i="213"/>
  <c r="L458" i="213"/>
  <c r="L467" i="213"/>
  <c r="L377" i="213"/>
  <c r="L397" i="213"/>
  <c r="L297" i="213"/>
  <c r="L315" i="213"/>
  <c r="L322" i="213"/>
  <c r="L336" i="213"/>
  <c r="L348" i="213"/>
  <c r="L362" i="213"/>
  <c r="L368" i="213"/>
  <c r="L154" i="213"/>
  <c r="L163" i="213"/>
  <c r="L168" i="213"/>
  <c r="L83" i="213"/>
  <c r="L88" i="213"/>
  <c r="L103" i="213"/>
  <c r="L115" i="213"/>
  <c r="L128" i="213"/>
  <c r="L136" i="213"/>
  <c r="L145" i="213"/>
  <c r="L5" i="213"/>
  <c r="L13" i="213"/>
  <c r="L23" i="213"/>
  <c r="L35" i="213"/>
  <c r="L40" i="213"/>
  <c r="L60" i="213"/>
  <c r="L68" i="213"/>
  <c r="L212" i="213"/>
  <c r="L203" i="213"/>
  <c r="L198" i="213"/>
  <c r="L189" i="213"/>
  <c r="L184" i="213"/>
  <c r="L173" i="213"/>
  <c r="L280" i="213"/>
  <c r="L271" i="213"/>
  <c r="L258" i="213"/>
  <c r="L252" i="213"/>
  <c r="L243" i="213"/>
  <c r="L238" i="213"/>
  <c r="L233" i="213"/>
  <c r="L221" i="213"/>
  <c r="L321" i="213"/>
  <c r="L335" i="213"/>
  <c r="L361" i="213"/>
  <c r="L367" i="213"/>
  <c r="L135" i="213"/>
  <c r="L22" i="213"/>
  <c r="L183" i="213"/>
  <c r="L257" i="213"/>
  <c r="L320" i="213"/>
  <c r="L182" i="213"/>
  <c r="E3" i="126" l="1"/>
  <c r="D3" i="126"/>
  <c r="U52" i="4" l="1"/>
  <c r="Q52" i="4"/>
  <c r="M52" i="4"/>
  <c r="I52" i="4"/>
  <c r="Y53" i="4"/>
  <c r="U53" i="4"/>
  <c r="Q53" i="4"/>
  <c r="M53" i="4"/>
  <c r="I53" i="4"/>
  <c r="Q54" i="4"/>
  <c r="M54" i="4"/>
  <c r="I54" i="4"/>
  <c r="U55" i="4"/>
  <c r="Q55" i="4"/>
  <c r="M55" i="4"/>
  <c r="I55" i="4"/>
  <c r="Y56" i="4"/>
  <c r="U56" i="4"/>
  <c r="Q56" i="4"/>
  <c r="M56" i="4"/>
  <c r="I56" i="4"/>
  <c r="Y57" i="4"/>
  <c r="U57" i="4"/>
  <c r="Q57" i="4"/>
  <c r="M57" i="4"/>
  <c r="I57" i="4"/>
  <c r="Y58" i="4"/>
  <c r="U58" i="4"/>
  <c r="Q58" i="4"/>
  <c r="M58" i="4"/>
  <c r="I58" i="4"/>
  <c r="U59" i="4"/>
  <c r="Q59" i="4"/>
  <c r="M59" i="4"/>
  <c r="I59" i="4"/>
  <c r="Y60" i="4"/>
  <c r="U60" i="4"/>
  <c r="Q60" i="4"/>
  <c r="M60" i="4"/>
  <c r="I60" i="4"/>
  <c r="AC61" i="4"/>
  <c r="Y61" i="4"/>
  <c r="U61" i="4"/>
  <c r="Q61" i="4"/>
  <c r="M61" i="4"/>
  <c r="I61" i="4"/>
  <c r="U62" i="4"/>
  <c r="Q62" i="4"/>
  <c r="M62" i="4"/>
  <c r="I62" i="4"/>
  <c r="U63" i="4"/>
  <c r="Q63" i="4"/>
  <c r="M63" i="4"/>
  <c r="I63" i="4"/>
  <c r="Y64" i="4"/>
  <c r="U64" i="4"/>
  <c r="Q64" i="4"/>
  <c r="M64" i="4"/>
  <c r="I64" i="4"/>
  <c r="U65" i="4"/>
  <c r="Q65" i="4"/>
  <c r="M65" i="4"/>
  <c r="I65" i="4"/>
  <c r="Y66" i="4"/>
  <c r="U66" i="4"/>
  <c r="Q66" i="4"/>
  <c r="M66" i="4"/>
  <c r="I66" i="4"/>
  <c r="U67" i="4"/>
  <c r="Q67" i="4"/>
  <c r="M67" i="4"/>
  <c r="I67" i="4"/>
  <c r="U68" i="4"/>
  <c r="Q68" i="4"/>
  <c r="M68" i="4"/>
  <c r="I68" i="4"/>
  <c r="U69" i="4"/>
  <c r="Q69" i="4"/>
  <c r="M69" i="4"/>
  <c r="I69" i="4"/>
  <c r="Y43" i="4"/>
  <c r="U43" i="4"/>
  <c r="Q43" i="4"/>
  <c r="M43" i="4"/>
  <c r="I43" i="4"/>
  <c r="U44" i="4"/>
  <c r="Q44" i="4"/>
  <c r="M44" i="4"/>
  <c r="I44" i="4"/>
  <c r="AG45" i="4"/>
  <c r="AC45" i="4"/>
  <c r="Y45" i="4"/>
  <c r="U45" i="4"/>
  <c r="Q45" i="4"/>
  <c r="M45" i="4"/>
  <c r="I45" i="4"/>
  <c r="Y46" i="4"/>
  <c r="U46" i="4"/>
  <c r="Q46" i="4"/>
  <c r="M46" i="4"/>
  <c r="I46" i="4"/>
  <c r="U47" i="4"/>
  <c r="Q47" i="4"/>
  <c r="M47" i="4"/>
  <c r="I47" i="4"/>
  <c r="Y48" i="4"/>
  <c r="U48" i="4"/>
  <c r="Q48" i="4"/>
  <c r="M48" i="4"/>
  <c r="I48" i="4"/>
  <c r="Y49" i="4"/>
  <c r="U49" i="4"/>
  <c r="Q49" i="4"/>
  <c r="M49" i="4"/>
  <c r="I49" i="4"/>
  <c r="U50" i="4"/>
  <c r="Q50" i="4"/>
  <c r="M50" i="4"/>
  <c r="I50" i="4"/>
  <c r="Y51" i="4"/>
  <c r="U51" i="4"/>
  <c r="Q51" i="4"/>
  <c r="M51" i="4"/>
  <c r="I51" i="4"/>
  <c r="E3" i="47"/>
  <c r="A100" i="50"/>
  <c r="A84" i="50"/>
  <c r="A85" i="50"/>
  <c r="A86" i="50"/>
  <c r="A87" i="50"/>
  <c r="A88" i="50"/>
  <c r="A89" i="50"/>
  <c r="A90" i="50"/>
  <c r="A91" i="50"/>
  <c r="A92" i="50"/>
  <c r="A93" i="50"/>
  <c r="A94" i="50"/>
  <c r="A95" i="50"/>
  <c r="A96" i="50"/>
  <c r="A97" i="50"/>
  <c r="A98" i="50"/>
  <c r="A99" i="50"/>
  <c r="A83" i="50"/>
  <c r="E52" i="4" l="1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43" i="4"/>
  <c r="E44" i="4"/>
  <c r="E45" i="4"/>
  <c r="E46" i="4"/>
  <c r="E47" i="4"/>
  <c r="E48" i="4"/>
  <c r="E49" i="4"/>
  <c r="E50" i="4"/>
  <c r="E51" i="4"/>
  <c r="Q2" i="4" l="1"/>
  <c r="M2" i="4"/>
  <c r="I2" i="4"/>
  <c r="Y3" i="4"/>
  <c r="U3" i="4"/>
  <c r="Q3" i="4"/>
  <c r="M3" i="4"/>
  <c r="I3" i="4"/>
  <c r="Q4" i="4"/>
  <c r="M4" i="4"/>
  <c r="I4" i="4"/>
  <c r="Y5" i="4"/>
  <c r="U5" i="4"/>
  <c r="Q5" i="4"/>
  <c r="M5" i="4"/>
  <c r="I5" i="4"/>
  <c r="U6" i="4"/>
  <c r="Q6" i="4"/>
  <c r="M6" i="4"/>
  <c r="I6" i="4"/>
  <c r="AC7" i="4"/>
  <c r="Y7" i="4"/>
  <c r="U7" i="4"/>
  <c r="Q7" i="4"/>
  <c r="M7" i="4"/>
  <c r="I7" i="4"/>
  <c r="U8" i="4"/>
  <c r="Q8" i="4"/>
  <c r="M8" i="4"/>
  <c r="I8" i="4"/>
  <c r="Q9" i="4"/>
  <c r="M9" i="4"/>
  <c r="I9" i="4"/>
  <c r="Y10" i="4"/>
  <c r="U10" i="4"/>
  <c r="Q10" i="4"/>
  <c r="M10" i="4"/>
  <c r="I10" i="4"/>
  <c r="Y11" i="4"/>
  <c r="U11" i="4"/>
  <c r="Q11" i="4"/>
  <c r="M11" i="4"/>
  <c r="I11" i="4"/>
  <c r="Q12" i="4"/>
  <c r="M12" i="4"/>
  <c r="I12" i="4"/>
  <c r="U13" i="4"/>
  <c r="Q13" i="4"/>
  <c r="M13" i="4"/>
  <c r="I13" i="4"/>
  <c r="U14" i="4"/>
  <c r="Q14" i="4"/>
  <c r="M14" i="4"/>
  <c r="I14" i="4"/>
  <c r="U15" i="4"/>
  <c r="Q15" i="4"/>
  <c r="M15" i="4"/>
  <c r="I15" i="4"/>
  <c r="Y16" i="4"/>
  <c r="U16" i="4"/>
  <c r="Q16" i="4"/>
  <c r="M16" i="4"/>
  <c r="I16" i="4"/>
  <c r="Y18" i="4"/>
  <c r="U18" i="4"/>
  <c r="Q18" i="4"/>
  <c r="M18" i="4"/>
  <c r="I18" i="4"/>
  <c r="Q19" i="4"/>
  <c r="M19" i="4"/>
  <c r="I19" i="4"/>
  <c r="U38" i="4"/>
  <c r="Q38" i="4"/>
  <c r="M38" i="4"/>
  <c r="I38" i="4"/>
  <c r="Y39" i="4"/>
  <c r="U39" i="4"/>
  <c r="Q39" i="4"/>
  <c r="M39" i="4"/>
  <c r="I39" i="4"/>
  <c r="U40" i="4"/>
  <c r="Q40" i="4"/>
  <c r="M40" i="4"/>
  <c r="I40" i="4"/>
  <c r="Y41" i="4"/>
  <c r="U41" i="4"/>
  <c r="Q41" i="4"/>
  <c r="M41" i="4"/>
  <c r="I41" i="4"/>
  <c r="Y42" i="4"/>
  <c r="U42" i="4"/>
  <c r="Q42" i="4"/>
  <c r="M42" i="4"/>
  <c r="I42" i="4"/>
  <c r="Q29" i="4"/>
  <c r="M29" i="4"/>
  <c r="I29" i="4"/>
  <c r="Y30" i="4"/>
  <c r="U30" i="4"/>
  <c r="Q30" i="4"/>
  <c r="M30" i="4"/>
  <c r="I30" i="4"/>
  <c r="U31" i="4"/>
  <c r="Q31" i="4"/>
  <c r="M31" i="4"/>
  <c r="I31" i="4"/>
  <c r="U32" i="4"/>
  <c r="Q32" i="4"/>
  <c r="M32" i="4"/>
  <c r="I32" i="4"/>
  <c r="Y33" i="4"/>
  <c r="U33" i="4"/>
  <c r="Q33" i="4"/>
  <c r="M33" i="4"/>
  <c r="I33" i="4"/>
  <c r="M34" i="4"/>
  <c r="I34" i="4"/>
  <c r="AC35" i="4"/>
  <c r="Y35" i="4"/>
  <c r="U35" i="4"/>
  <c r="Q35" i="4"/>
  <c r="M35" i="4"/>
  <c r="I35" i="4"/>
  <c r="U36" i="4"/>
  <c r="Q36" i="4"/>
  <c r="M36" i="4"/>
  <c r="I36" i="4"/>
  <c r="Y37" i="4"/>
  <c r="U37" i="4"/>
  <c r="Q37" i="4"/>
  <c r="M37" i="4"/>
  <c r="I37" i="4"/>
  <c r="Q20" i="4"/>
  <c r="M20" i="4"/>
  <c r="I20" i="4"/>
  <c r="U21" i="4"/>
  <c r="Q21" i="4"/>
  <c r="M21" i="4"/>
  <c r="I21" i="4"/>
  <c r="Y22" i="4"/>
  <c r="U22" i="4"/>
  <c r="Q22" i="4"/>
  <c r="M22" i="4"/>
  <c r="I22" i="4"/>
  <c r="Y23" i="4"/>
  <c r="U23" i="4"/>
  <c r="Q23" i="4"/>
  <c r="M23" i="4"/>
  <c r="I23" i="4"/>
  <c r="U24" i="4"/>
  <c r="Q24" i="4"/>
  <c r="M24" i="4"/>
  <c r="I24" i="4"/>
  <c r="U25" i="4"/>
  <c r="Q25" i="4"/>
  <c r="M25" i="4"/>
  <c r="I25" i="4"/>
  <c r="M26" i="4"/>
  <c r="I26" i="4"/>
  <c r="Y27" i="4"/>
  <c r="U27" i="4"/>
  <c r="Q27" i="4"/>
  <c r="M27" i="4"/>
  <c r="I27" i="4"/>
  <c r="U28" i="4"/>
  <c r="Q28" i="4"/>
  <c r="M28" i="4"/>
  <c r="I28" i="4"/>
  <c r="E2" i="4" l="1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8" i="4"/>
  <c r="E19" i="4"/>
  <c r="E38" i="4"/>
  <c r="E39" i="4"/>
  <c r="E40" i="4"/>
  <c r="E41" i="4"/>
  <c r="E35" i="4"/>
  <c r="E42" i="4"/>
  <c r="E29" i="4"/>
  <c r="E30" i="4"/>
  <c r="E31" i="4"/>
  <c r="E32" i="4"/>
  <c r="E33" i="4"/>
  <c r="E34" i="4"/>
  <c r="E36" i="4"/>
  <c r="E37" i="4"/>
  <c r="E20" i="4"/>
  <c r="E21" i="4"/>
  <c r="E22" i="4"/>
  <c r="E23" i="4"/>
  <c r="E24" i="4"/>
  <c r="E25" i="4"/>
  <c r="E26" i="4"/>
  <c r="E27" i="4"/>
  <c r="E28" i="4"/>
  <c r="A82" i="50"/>
  <c r="A81" i="50"/>
  <c r="A80" i="50"/>
  <c r="A79" i="50"/>
  <c r="A78" i="50"/>
  <c r="A77" i="50"/>
  <c r="A76" i="50"/>
  <c r="A75" i="50"/>
  <c r="A74" i="50"/>
  <c r="A73" i="50"/>
  <c r="A72" i="50"/>
  <c r="A71" i="50"/>
  <c r="A70" i="50"/>
  <c r="A69" i="50"/>
  <c r="A68" i="50"/>
  <c r="A67" i="50"/>
  <c r="A66" i="50"/>
  <c r="A65" i="50"/>
  <c r="U87" i="4"/>
  <c r="Q87" i="4"/>
  <c r="M87" i="4"/>
  <c r="I87" i="4"/>
  <c r="AC86" i="4"/>
  <c r="Y86" i="4"/>
  <c r="U86" i="4"/>
  <c r="Q86" i="4"/>
  <c r="M86" i="4"/>
  <c r="I86" i="4"/>
  <c r="AC85" i="4"/>
  <c r="Y85" i="4"/>
  <c r="U85" i="4"/>
  <c r="Q85" i="4"/>
  <c r="M85" i="4"/>
  <c r="I85" i="4"/>
  <c r="U84" i="4"/>
  <c r="Q84" i="4"/>
  <c r="M84" i="4"/>
  <c r="I84" i="4"/>
  <c r="U83" i="4"/>
  <c r="Q83" i="4"/>
  <c r="M83" i="4"/>
  <c r="I83" i="4"/>
  <c r="Y82" i="4"/>
  <c r="U82" i="4"/>
  <c r="Q82" i="4"/>
  <c r="M82" i="4"/>
  <c r="I82" i="4"/>
  <c r="U81" i="4"/>
  <c r="Q81" i="4"/>
  <c r="M81" i="4"/>
  <c r="I81" i="4"/>
  <c r="Q80" i="4"/>
  <c r="M80" i="4"/>
  <c r="I80" i="4"/>
  <c r="AC79" i="4"/>
  <c r="Y79" i="4"/>
  <c r="U79" i="4"/>
  <c r="Q79" i="4"/>
  <c r="M79" i="4"/>
  <c r="I79" i="4"/>
  <c r="U78" i="4"/>
  <c r="Q78" i="4"/>
  <c r="M78" i="4"/>
  <c r="I78" i="4"/>
  <c r="U77" i="4"/>
  <c r="Q77" i="4"/>
  <c r="M77" i="4"/>
  <c r="I77" i="4"/>
  <c r="AG76" i="4"/>
  <c r="AC76" i="4"/>
  <c r="Y76" i="4"/>
  <c r="U76" i="4"/>
  <c r="Q76" i="4"/>
  <c r="M76" i="4"/>
  <c r="I76" i="4"/>
  <c r="Y75" i="4"/>
  <c r="U75" i="4"/>
  <c r="Q75" i="4"/>
  <c r="M75" i="4"/>
  <c r="I75" i="4"/>
  <c r="Q74" i="4"/>
  <c r="M74" i="4"/>
  <c r="I74" i="4"/>
  <c r="U73" i="4"/>
  <c r="Q73" i="4"/>
  <c r="M73" i="4"/>
  <c r="I73" i="4"/>
  <c r="Q72" i="4"/>
  <c r="M72" i="4"/>
  <c r="I72" i="4"/>
  <c r="Q71" i="4"/>
  <c r="M71" i="4"/>
  <c r="I71" i="4"/>
  <c r="Y70" i="4"/>
  <c r="U70" i="4"/>
  <c r="Q70" i="4"/>
  <c r="M70" i="4"/>
  <c r="I70" i="4"/>
  <c r="U96" i="4"/>
  <c r="Q96" i="4"/>
  <c r="M96" i="4"/>
  <c r="I96" i="4"/>
  <c r="Q95" i="4"/>
  <c r="M95" i="4"/>
  <c r="I95" i="4"/>
  <c r="U94" i="4"/>
  <c r="Q94" i="4"/>
  <c r="M94" i="4"/>
  <c r="I94" i="4"/>
  <c r="Y93" i="4"/>
  <c r="U93" i="4"/>
  <c r="Q93" i="4"/>
  <c r="M93" i="4"/>
  <c r="I93" i="4"/>
  <c r="U92" i="4"/>
  <c r="Q92" i="4"/>
  <c r="M92" i="4"/>
  <c r="I92" i="4"/>
  <c r="U91" i="4"/>
  <c r="Q91" i="4"/>
  <c r="M91" i="4"/>
  <c r="I91" i="4"/>
  <c r="U90" i="4"/>
  <c r="Q90" i="4"/>
  <c r="M90" i="4"/>
  <c r="I90" i="4"/>
  <c r="Q89" i="4"/>
  <c r="M89" i="4"/>
  <c r="I89" i="4"/>
  <c r="Y88" i="4"/>
  <c r="U88" i="4"/>
  <c r="Q88" i="4"/>
  <c r="M88" i="4"/>
  <c r="I88" i="4"/>
  <c r="U114" i="4"/>
  <c r="Q114" i="4"/>
  <c r="M114" i="4"/>
  <c r="I114" i="4"/>
  <c r="Q113" i="4"/>
  <c r="M113" i="4"/>
  <c r="I113" i="4"/>
  <c r="U112" i="4"/>
  <c r="Q112" i="4"/>
  <c r="M112" i="4"/>
  <c r="I112" i="4"/>
  <c r="Y111" i="4"/>
  <c r="U111" i="4"/>
  <c r="Q111" i="4"/>
  <c r="M111" i="4"/>
  <c r="I111" i="4"/>
  <c r="U110" i="4"/>
  <c r="Q110" i="4"/>
  <c r="M110" i="4"/>
  <c r="I110" i="4"/>
  <c r="Y109" i="4"/>
  <c r="U109" i="4"/>
  <c r="Q109" i="4"/>
  <c r="M109" i="4"/>
  <c r="I109" i="4"/>
  <c r="U108" i="4"/>
  <c r="Q108" i="4"/>
  <c r="M108" i="4"/>
  <c r="I108" i="4"/>
  <c r="Y107" i="4"/>
  <c r="U107" i="4"/>
  <c r="Q107" i="4"/>
  <c r="M107" i="4"/>
  <c r="I107" i="4"/>
  <c r="Q106" i="4"/>
  <c r="M106" i="4"/>
  <c r="I106" i="4"/>
  <c r="U105" i="4"/>
  <c r="Q105" i="4"/>
  <c r="M105" i="4"/>
  <c r="I105" i="4"/>
  <c r="Q104" i="4"/>
  <c r="M104" i="4"/>
  <c r="I104" i="4"/>
  <c r="Q103" i="4"/>
  <c r="M103" i="4"/>
  <c r="I103" i="4"/>
  <c r="U102" i="4"/>
  <c r="Q102" i="4"/>
  <c r="M102" i="4"/>
  <c r="I102" i="4"/>
  <c r="Q101" i="4"/>
  <c r="M101" i="4"/>
  <c r="I101" i="4"/>
  <c r="U100" i="4"/>
  <c r="Q100" i="4"/>
  <c r="M100" i="4"/>
  <c r="I100" i="4"/>
  <c r="U99" i="4"/>
  <c r="Q99" i="4"/>
  <c r="M99" i="4"/>
  <c r="I99" i="4"/>
  <c r="U98" i="4"/>
  <c r="Q98" i="4"/>
  <c r="M98" i="4"/>
  <c r="I98" i="4"/>
  <c r="U97" i="4"/>
  <c r="Q97" i="4"/>
  <c r="M97" i="4"/>
  <c r="I97" i="4"/>
  <c r="Q123" i="4"/>
  <c r="M123" i="4"/>
  <c r="I123" i="4"/>
  <c r="U122" i="4"/>
  <c r="Q122" i="4"/>
  <c r="M122" i="4"/>
  <c r="I122" i="4"/>
  <c r="U121" i="4"/>
  <c r="Q121" i="4"/>
  <c r="M121" i="4"/>
  <c r="I121" i="4"/>
  <c r="Y120" i="4"/>
  <c r="U120" i="4"/>
  <c r="Q120" i="4"/>
  <c r="M120" i="4"/>
  <c r="I120" i="4"/>
  <c r="Y119" i="4"/>
  <c r="U119" i="4"/>
  <c r="Q119" i="4"/>
  <c r="M119" i="4"/>
  <c r="I119" i="4"/>
  <c r="Y118" i="4"/>
  <c r="U118" i="4"/>
  <c r="Q118" i="4"/>
  <c r="M118" i="4"/>
  <c r="I118" i="4"/>
  <c r="Q117" i="4"/>
  <c r="M117" i="4"/>
  <c r="I117" i="4"/>
  <c r="U116" i="4"/>
  <c r="Q116" i="4"/>
  <c r="M116" i="4"/>
  <c r="I116" i="4"/>
  <c r="U115" i="4"/>
  <c r="Q115" i="4"/>
  <c r="M115" i="4"/>
  <c r="I115" i="4"/>
  <c r="E106" i="4" l="1"/>
  <c r="E103" i="4"/>
  <c r="E113" i="4"/>
  <c r="E90" i="4"/>
  <c r="E92" i="4"/>
  <c r="E96" i="4"/>
  <c r="E71" i="4"/>
  <c r="E123" i="4"/>
  <c r="E109" i="4"/>
  <c r="E73" i="4"/>
  <c r="E82" i="4"/>
  <c r="E74" i="4"/>
  <c r="E89" i="4"/>
  <c r="E95" i="4"/>
  <c r="E75" i="4"/>
  <c r="E80" i="4"/>
  <c r="E84" i="4"/>
  <c r="E87" i="4"/>
  <c r="E98" i="4"/>
  <c r="E100" i="4"/>
  <c r="E102" i="4"/>
  <c r="E112" i="4"/>
  <c r="E78" i="4"/>
  <c r="E120" i="4"/>
  <c r="E101" i="4"/>
  <c r="E107" i="4"/>
  <c r="E116" i="4"/>
  <c r="E99" i="4"/>
  <c r="E97" i="4"/>
  <c r="E77" i="4"/>
  <c r="E121" i="4"/>
  <c r="E105" i="4"/>
  <c r="E94" i="4"/>
  <c r="E79" i="4"/>
  <c r="E122" i="4"/>
  <c r="E104" i="4"/>
  <c r="E108" i="4"/>
  <c r="E110" i="4"/>
  <c r="E111" i="4"/>
  <c r="E114" i="4"/>
  <c r="E88" i="4"/>
  <c r="E91" i="4"/>
  <c r="E93" i="4"/>
  <c r="E70" i="4"/>
  <c r="E72" i="4"/>
  <c r="E76" i="4"/>
  <c r="E81" i="4"/>
  <c r="E83" i="4"/>
  <c r="E85" i="4"/>
  <c r="E86" i="4"/>
  <c r="E115" i="4"/>
  <c r="E117" i="4"/>
  <c r="E119" i="4"/>
  <c r="E118" i="4"/>
  <c r="A17" i="126" l="1"/>
  <c r="B17" i="126" s="1"/>
  <c r="A16" i="126"/>
  <c r="B16" i="126" s="1"/>
  <c r="A15" i="126"/>
  <c r="B15" i="126" s="1"/>
  <c r="A14" i="126"/>
  <c r="B14" i="126" s="1"/>
  <c r="A13" i="126"/>
  <c r="B13" i="126" s="1"/>
  <c r="A12" i="126"/>
  <c r="B12" i="126" s="1"/>
  <c r="A11" i="126"/>
  <c r="B11" i="126" s="1"/>
  <c r="A10" i="126"/>
  <c r="B10" i="126" s="1"/>
  <c r="A9" i="126"/>
  <c r="B9" i="126" s="1"/>
  <c r="A8" i="126"/>
  <c r="B8" i="126" s="1"/>
  <c r="A7" i="126"/>
  <c r="B7" i="126" s="1"/>
  <c r="A6" i="126"/>
  <c r="B6" i="126" s="1"/>
  <c r="A5" i="126"/>
  <c r="B5" i="126" s="1"/>
  <c r="E28" i="126" l="1"/>
  <c r="C28" i="126" s="1"/>
  <c r="E27" i="126"/>
  <c r="E26" i="126"/>
  <c r="C19" i="126"/>
  <c r="B19" i="126" l="1"/>
  <c r="D19" i="126" s="1"/>
  <c r="A17" i="47" l="1"/>
  <c r="A16" i="47"/>
  <c r="A15" i="47"/>
  <c r="A14" i="47"/>
  <c r="A13" i="47"/>
  <c r="A12" i="47"/>
  <c r="A11" i="47"/>
  <c r="A10" i="47"/>
  <c r="A9" i="47"/>
  <c r="A8" i="47"/>
  <c r="A6" i="47"/>
  <c r="A5" i="47"/>
  <c r="A7" i="47"/>
  <c r="A26" i="50" l="1"/>
  <c r="A49" i="50"/>
  <c r="A48" i="50"/>
  <c r="B8" i="47" l="1"/>
  <c r="B6" i="47"/>
  <c r="B5" i="47"/>
  <c r="D29" i="47"/>
  <c r="E28" i="47"/>
  <c r="D28" i="47" s="1"/>
  <c r="E27" i="47"/>
  <c r="D27" i="47" s="1"/>
  <c r="E26" i="47"/>
  <c r="D26" i="47" s="1"/>
  <c r="A19" i="50"/>
  <c r="A18" i="50"/>
  <c r="A17" i="50"/>
  <c r="A16" i="50"/>
  <c r="A15" i="50"/>
  <c r="A14" i="50"/>
  <c r="A13" i="50"/>
  <c r="A12" i="50"/>
  <c r="A11" i="50"/>
  <c r="A10" i="50"/>
  <c r="A9" i="50"/>
  <c r="A8" i="50"/>
  <c r="A7" i="50"/>
  <c r="A6" i="50"/>
  <c r="A5" i="50"/>
  <c r="A4" i="50"/>
  <c r="A3" i="50"/>
  <c r="A2" i="50"/>
  <c r="A55" i="50"/>
  <c r="A54" i="50"/>
  <c r="A53" i="50"/>
  <c r="A52" i="50"/>
  <c r="A51" i="50"/>
  <c r="A50" i="50"/>
  <c r="A47" i="50"/>
  <c r="A64" i="50"/>
  <c r="A63" i="50"/>
  <c r="A62" i="50"/>
  <c r="A61" i="50"/>
  <c r="A60" i="50"/>
  <c r="A59" i="50"/>
  <c r="A58" i="50"/>
  <c r="A57" i="50"/>
  <c r="A56" i="50"/>
  <c r="C28" i="47" l="1"/>
  <c r="B7" i="47"/>
  <c r="B9" i="47" l="1"/>
  <c r="B10" i="47"/>
  <c r="B11" i="47"/>
  <c r="B12" i="47"/>
  <c r="B13" i="47"/>
  <c r="B14" i="47"/>
  <c r="B15" i="47"/>
  <c r="B16" i="47"/>
  <c r="B17" i="47"/>
  <c r="A21" i="50" l="1"/>
  <c r="A22" i="50"/>
  <c r="A23" i="50"/>
  <c r="A24" i="50"/>
  <c r="A25" i="50"/>
  <c r="A27" i="50"/>
  <c r="A28" i="50"/>
  <c r="A38" i="50"/>
  <c r="A39" i="50"/>
  <c r="A40" i="50"/>
  <c r="A41" i="50"/>
  <c r="A42" i="50"/>
  <c r="A43" i="50"/>
  <c r="A44" i="50"/>
  <c r="A45" i="50"/>
  <c r="A46" i="50"/>
  <c r="A29" i="50"/>
  <c r="A30" i="50"/>
  <c r="A31" i="50"/>
  <c r="A32" i="50"/>
  <c r="A33" i="50"/>
  <c r="A34" i="50"/>
  <c r="A35" i="50"/>
  <c r="A36" i="50"/>
  <c r="A37" i="50"/>
  <c r="A20" i="50"/>
  <c r="C19" i="47"/>
  <c r="D3" i="47" l="1"/>
  <c r="B19" i="47"/>
  <c r="D19" i="47" l="1"/>
</calcChain>
</file>

<file path=xl/sharedStrings.xml><?xml version="1.0" encoding="utf-8"?>
<sst xmlns="http://schemas.openxmlformats.org/spreadsheetml/2006/main" count="2147" uniqueCount="116">
  <si>
    <t>Baan</t>
  </si>
  <si>
    <t>Date</t>
  </si>
  <si>
    <t>Distance</t>
  </si>
  <si>
    <t>Strokes_PGA</t>
  </si>
  <si>
    <t>Difference</t>
  </si>
  <si>
    <t>Course</t>
  </si>
  <si>
    <t>Hole</t>
  </si>
  <si>
    <t>Strokes</t>
  </si>
  <si>
    <t>1Strokes</t>
  </si>
  <si>
    <t>3Strokes</t>
  </si>
  <si>
    <t>2Strokes</t>
  </si>
  <si>
    <t>4Strokes</t>
  </si>
  <si>
    <t>5Strokes</t>
  </si>
  <si>
    <t>6Strokes</t>
  </si>
  <si>
    <t>Sum</t>
  </si>
  <si>
    <t>aseline for approach shot - baseline for putt - 1 = strokes gained: approach-the-green</t>
  </si>
  <si>
    <r>
      <t>2.825 - 1.826 = 0.999 - 1 = </t>
    </r>
    <r>
      <rPr>
        <b/>
        <sz val="8"/>
        <color theme="1"/>
        <rFont val="Arial"/>
        <family val="2"/>
      </rPr>
      <t>-0.001</t>
    </r>
  </si>
  <si>
    <r>
      <t>Putt:</t>
    </r>
    <r>
      <rPr>
        <sz val="8"/>
        <color theme="1"/>
        <rFont val="Arial"/>
        <family val="2"/>
      </rPr>
      <t> Fowler gained 0.826 strokes by making his 16-foot, 11-inch birdie putt at 18. The TOUR baseline for a birdie putt of that length is 1.826, while the baseline for a holed shot is, of course, 0.</t>
    </r>
  </si>
  <si>
    <t>Baseline for putt - baseline for putt - 1 = strokes gained: putting</t>
  </si>
  <si>
    <r>
      <t>1.826 - 0 = 1.826 -1 = +</t>
    </r>
    <r>
      <rPr>
        <b/>
        <sz val="8"/>
        <color theme="1"/>
        <rFont val="Arial"/>
        <family val="2"/>
      </rPr>
      <t>0.826</t>
    </r>
  </si>
  <si>
    <t>A player's strokes gained statistics for the round are the sum of his strokes gained and lost on all 18 holes. Adjustments are made to account for a course's difficulty.</t>
  </si>
  <si>
    <t>Shot</t>
  </si>
  <si>
    <t>Location</t>
  </si>
  <si>
    <t>Baseline from location</t>
  </si>
  <si>
    <t>Next location</t>
  </si>
  <si>
    <t>Baseline from next location</t>
  </si>
  <si>
    <t>Strokes gained</t>
  </si>
  <si>
    <t>446 yards (tee box)</t>
  </si>
  <si>
    <t>116 yards (fairway)</t>
  </si>
  <si>
    <r>
      <t>(4.100 - 2.825) - 1 = </t>
    </r>
    <r>
      <rPr>
        <b/>
        <sz val="11"/>
        <color theme="1"/>
        <rFont val="Arial"/>
        <family val="2"/>
      </rPr>
      <t>+0.275</t>
    </r>
  </si>
  <si>
    <t>16' 11" (green)</t>
  </si>
  <si>
    <r>
      <t>(2.825 - 1.826) - 1 = </t>
    </r>
    <r>
      <rPr>
        <b/>
        <sz val="11"/>
        <color theme="1"/>
        <rFont val="Arial"/>
        <family val="2"/>
      </rPr>
      <t>-0.001</t>
    </r>
  </si>
  <si>
    <r>
      <t>(1.826 - 0) - 1 = </t>
    </r>
    <r>
      <rPr>
        <b/>
        <sz val="11"/>
        <color theme="1"/>
        <rFont val="Arial"/>
        <family val="2"/>
      </rPr>
      <t>+0.826</t>
    </r>
  </si>
  <si>
    <t>Total</t>
  </si>
  <si>
    <t>0 (3 shots)</t>
  </si>
  <si>
    <r>
      <t>4.100 - 3 = </t>
    </r>
    <r>
      <rPr>
        <b/>
        <sz val="11"/>
        <color theme="1"/>
        <rFont val="Arial"/>
        <family val="2"/>
      </rPr>
      <t>+1.100</t>
    </r>
  </si>
  <si>
    <r>
      <t>Strokes gained: total -- </t>
    </r>
    <r>
      <rPr>
        <b/>
        <sz val="11"/>
        <color theme="1"/>
        <rFont val="Arial"/>
        <family val="2"/>
      </rPr>
      <t>0.275</t>
    </r>
    <r>
      <rPr>
        <sz val="11"/>
        <color theme="1"/>
        <rFont val="Calibri"/>
        <family val="2"/>
        <scheme val="minor"/>
      </rPr>
      <t> + (</t>
    </r>
    <r>
      <rPr>
        <b/>
        <sz val="11"/>
        <color theme="1"/>
        <rFont val="Arial"/>
        <family val="2"/>
      </rPr>
      <t>-0.001</t>
    </r>
    <r>
      <rPr>
        <sz val="11"/>
        <color theme="1"/>
        <rFont val="Calibri"/>
        <family val="2"/>
        <scheme val="minor"/>
      </rPr>
      <t>) + </t>
    </r>
    <r>
      <rPr>
        <b/>
        <sz val="11"/>
        <color theme="1"/>
        <rFont val="Arial"/>
        <family val="2"/>
      </rPr>
      <t>0.826</t>
    </r>
    <r>
      <rPr>
        <sz val="11"/>
        <color theme="1"/>
        <rFont val="Calibri"/>
        <family val="2"/>
        <scheme val="minor"/>
      </rPr>
      <t> = </t>
    </r>
    <r>
      <rPr>
        <b/>
        <sz val="11"/>
        <color theme="1"/>
        <rFont val="Arial"/>
        <family val="2"/>
      </rPr>
      <t>1.100</t>
    </r>
  </si>
  <si>
    <t>2Calc</t>
  </si>
  <si>
    <t>3Calc</t>
  </si>
  <si>
    <t>4Calc</t>
  </si>
  <si>
    <t>5Calc</t>
  </si>
  <si>
    <t>6Calc</t>
  </si>
  <si>
    <t>Total SG</t>
  </si>
  <si>
    <t>Sum of Strokes</t>
  </si>
  <si>
    <t>1Calc-PGA</t>
  </si>
  <si>
    <t>Meters</t>
  </si>
  <si>
    <t>Part</t>
  </si>
  <si>
    <t>Rough</t>
  </si>
  <si>
    <t>Fairway</t>
  </si>
  <si>
    <t>Bunker</t>
  </si>
  <si>
    <t>Green</t>
  </si>
  <si>
    <t>Ft Meters conv</t>
  </si>
  <si>
    <t>Calc</t>
  </si>
  <si>
    <t>Length</t>
  </si>
  <si>
    <t>El Higueral Golf White</t>
  </si>
  <si>
    <t>Gualdemina Sud White</t>
  </si>
  <si>
    <t>Key</t>
  </si>
  <si>
    <t>SI</t>
  </si>
  <si>
    <t>Par</t>
  </si>
  <si>
    <t>Disperce</t>
  </si>
  <si>
    <t>Recovery</t>
  </si>
  <si>
    <t>M</t>
  </si>
  <si>
    <t>Disp</t>
  </si>
  <si>
    <t>Woold Wit</t>
  </si>
  <si>
    <t>EG-White</t>
  </si>
  <si>
    <t>y</t>
  </si>
  <si>
    <t>f</t>
  </si>
  <si>
    <t>m</t>
  </si>
  <si>
    <t>Tee</t>
  </si>
  <si>
    <t>Yards/Feet</t>
  </si>
  <si>
    <t>Feet</t>
  </si>
  <si>
    <t>7Calc</t>
  </si>
  <si>
    <t>7Strokes</t>
  </si>
  <si>
    <t>8Strokes</t>
  </si>
  <si>
    <t>8Calc</t>
  </si>
  <si>
    <t>9Strokes</t>
  </si>
  <si>
    <t>9Calc</t>
  </si>
  <si>
    <t>10Strokes</t>
  </si>
  <si>
    <t>10Calc</t>
  </si>
  <si>
    <t>11Strokes</t>
  </si>
  <si>
    <t>11Calc</t>
  </si>
  <si>
    <t>12Strokes</t>
  </si>
  <si>
    <t>12Calc</t>
  </si>
  <si>
    <t>Yards/Ft</t>
  </si>
  <si>
    <t>Rounded</t>
  </si>
  <si>
    <t>index</t>
  </si>
  <si>
    <t>Distance Y</t>
  </si>
  <si>
    <t>NNGC</t>
  </si>
  <si>
    <t>nngc</t>
  </si>
  <si>
    <t xml:space="preserve">Yards/Ft </t>
  </si>
  <si>
    <t>Row Labels</t>
  </si>
  <si>
    <t>Grand Total</t>
  </si>
  <si>
    <t>(All)</t>
  </si>
  <si>
    <t>EG-white</t>
  </si>
  <si>
    <t>Rosendaelsche Wit</t>
  </si>
  <si>
    <t>Add20190621</t>
  </si>
  <si>
    <t>SG Average</t>
  </si>
  <si>
    <t>SG Sum per Round</t>
  </si>
  <si>
    <t>Sum of the Averages</t>
  </si>
  <si>
    <t>aa</t>
  </si>
  <si>
    <t>bb</t>
  </si>
  <si>
    <t>cc</t>
  </si>
  <si>
    <t>dd</t>
  </si>
  <si>
    <t>ee</t>
  </si>
  <si>
    <t>ff</t>
  </si>
  <si>
    <t>gg</t>
  </si>
  <si>
    <t>hh</t>
  </si>
  <si>
    <t>jj</t>
  </si>
  <si>
    <t>ii</t>
  </si>
  <si>
    <t>Add20190621G3</t>
  </si>
  <si>
    <t>Add20190621G2</t>
  </si>
  <si>
    <t>Hi</t>
  </si>
  <si>
    <t>Count of 1Strokes2</t>
  </si>
  <si>
    <t>Lo</t>
  </si>
  <si>
    <t>Ri</t>
  </si>
  <si>
    <t>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</si>
</sst>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/mm/yy\ h:mm;@"/>
    <numFmt numFmtId="165" formatCode="0.0000"/>
    <numFmt numFmtId="166" formatCode="#,##0.0000000"/>
    <numFmt numFmtId="167" formatCode="#,##0.0000"/>
  </numFmts>
  <fonts count="4" x14ac:knownFonts="1"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11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9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35">
    <xf numFmtId="0" fontId="0" fillId="0" borderId="0" xfId="0"/>
    <xf numFmtId="14" fontId="0" fillId="0" borderId="0" xfId="0" applyNumberFormat="1"/>
    <xf numFmtId="0" fontId="0" fillId="2" borderId="0" xfId="0" applyFill="1"/>
    <xf numFmtId="22" fontId="0" fillId="0" borderId="0" xfId="0" applyNumberFormat="1"/>
    <xf numFmtId="165" fontId="0" fillId="0" borderId="0" xfId="0" applyNumberFormat="1"/>
    <xf numFmtId="164" fontId="0" fillId="3" borderId="0" xfId="0" applyNumberFormat="1" applyFill="1" applyAlignment="1">
      <alignment horizontal="left"/>
    </xf>
    <xf numFmtId="0" fontId="0" fillId="0" borderId="0" xfId="0" applyFill="1"/>
    <xf numFmtId="0" fontId="1" fillId="0" borderId="0" xfId="0" applyFont="1" applyAlignment="1">
      <alignment horizontal="left" vertical="center" indent="2"/>
    </xf>
    <xf numFmtId="0" fontId="2" fillId="0" borderId="0" xfId="0" applyFont="1" applyAlignment="1">
      <alignment horizontal="left" vertical="center" indent="2"/>
    </xf>
    <xf numFmtId="0" fontId="0" fillId="0" borderId="1" xfId="0" applyBorder="1" applyAlignment="1">
      <alignment vertical="center" wrapText="1"/>
    </xf>
    <xf numFmtId="0" fontId="3" fillId="0" borderId="1" xfId="0" applyFont="1" applyBorder="1" applyAlignment="1">
      <alignment vertical="center" wrapText="1"/>
    </xf>
    <xf numFmtId="3" fontId="0" fillId="0" borderId="1" xfId="0" applyNumberFormat="1" applyBorder="1" applyAlignment="1">
      <alignment vertical="center" wrapText="1"/>
    </xf>
    <xf numFmtId="166" fontId="0" fillId="0" borderId="0" xfId="0" applyNumberFormat="1"/>
    <xf numFmtId="1" fontId="0" fillId="0" borderId="0" xfId="0" applyNumberFormat="1"/>
    <xf numFmtId="0" fontId="0" fillId="0" borderId="0" xfId="0" applyAlignment="1"/>
    <xf numFmtId="2" fontId="0" fillId="0" borderId="0" xfId="0" applyNumberFormat="1" applyAlignment="1">
      <alignment horizontal="right"/>
    </xf>
    <xf numFmtId="2" fontId="0" fillId="0" borderId="0" xfId="0" applyNumberFormat="1"/>
    <xf numFmtId="0" fontId="0" fillId="0" borderId="0" xfId="0" applyAlignment="1"/>
    <xf numFmtId="167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NumberFormat="1"/>
    <xf numFmtId="22" fontId="0" fillId="3" borderId="0" xfId="0" applyNumberFormat="1" applyFill="1"/>
    <xf numFmtId="22" fontId="0" fillId="0" borderId="0" xfId="0" applyNumberFormat="1" applyAlignment="1">
      <alignment horizontal="left"/>
    </xf>
    <xf numFmtId="0" fontId="0" fillId="0" borderId="5" xfId="0" applyBorder="1"/>
    <xf numFmtId="10" fontId="0" fillId="0" borderId="0" xfId="0" applyNumberFormat="1"/>
    <xf numFmtId="0" fontId="0" fillId="0" borderId="0" xfId="0" applyAlignment="1">
      <alignment horizontal="left" indent="2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2" xfId="0" applyBorder="1" applyAlignment="1">
      <alignment vertical="center" wrapText="1"/>
    </xf>
    <xf numFmtId="0" fontId="0" fillId="0" borderId="3" xfId="0" applyBorder="1" applyAlignment="1">
      <alignment vertical="center" wrapText="1"/>
    </xf>
    <xf numFmtId="0" fontId="0" fillId="0" borderId="4" xfId="0" applyBorder="1" applyAlignment="1">
      <alignment vertical="center" wrapText="1"/>
    </xf>
    <xf numFmtId="0" fontId="0" fillId="0" borderId="0" xfId="0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[Bob putting v3 dd210626-dev.xlsm]Add20190621-Test-SetG4!PivotTable2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nl-NL"/>
              <a:t>Puts diff</a:t>
            </a:r>
          </a:p>
        </c:rich>
      </c:tx>
      <c:layout/>
      <c:overlay val="0"/>
    </c:title>
    <c:autoTitleDeleted val="0"/>
    <c:pivotFmts>
      <c:pivotFmt>
        <c:idx val="0"/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nl-N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doughnutChart>
        <c:varyColors val="1"/>
        <c:ser>
          <c:idx val="0"/>
          <c:order val="0"/>
          <c:tx>
            <c:strRef>
              <c:f>'Add20190621-Test-SetG4'!$B$3</c:f>
              <c:strCache>
                <c:ptCount val="1"/>
                <c:pt idx="0">
                  <c:v>Total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nl-N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multiLvlStrRef>
              <c:f>'Add20190621-Test-SetG4'!$A$4:$A$9</c:f>
              <c:multiLvlStrCache>
                <c:ptCount val="4"/>
                <c:lvl>
                  <c:pt idx="0">
                    <c:v>Hi</c:v>
                  </c:pt>
                  <c:pt idx="1">
                    <c:v>Le</c:v>
                  </c:pt>
                  <c:pt idx="2">
                    <c:v>Lo</c:v>
                  </c:pt>
                  <c:pt idx="3">
                    <c:v>Ri</c:v>
                  </c:pt>
                </c:lvl>
                <c:lvl>
                  <c:pt idx="0">
                    <c:v>Green</c:v>
                  </c:pt>
                </c:lvl>
              </c:multiLvlStrCache>
            </c:multiLvlStrRef>
          </c:cat>
          <c:val>
            <c:numRef>
              <c:f>'Add20190621-Test-SetG4'!$B$4:$B$9</c:f>
              <c:numCache>
                <c:formatCode>0.00%</c:formatCode>
                <c:ptCount val="4"/>
                <c:pt idx="0">
                  <c:v>0.17894736842105263</c:v>
                </c:pt>
                <c:pt idx="1">
                  <c:v>0.35789473684210527</c:v>
                </c:pt>
                <c:pt idx="2">
                  <c:v>0.23157894736842105</c:v>
                </c:pt>
                <c:pt idx="3">
                  <c:v>0.23157894736842105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66-462E-BD02-4D597297AA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[Bob putting v3 dd210626-dev.xlsm]Add20190621-Test-SetG3!PivotTable2</c:name>
    <c:fmtId val="0"/>
  </c:pivotSource>
  <c:chart>
    <c:title>
      <c:layout/>
      <c:overlay val="0"/>
    </c:title>
    <c:autoTitleDeleted val="0"/>
    <c:pivotFmts>
      <c:pivotFmt>
        <c:idx val="0"/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'Add20190621-Test-SetG3'!$B$3</c:f>
              <c:strCache>
                <c:ptCount val="1"/>
                <c:pt idx="0">
                  <c:v>Total</c:v>
                </c:pt>
              </c:strCache>
            </c:strRef>
          </c:tx>
          <c:cat>
            <c:multiLvlStrRef>
              <c:f>'Add20190621-Test-SetG3'!$A$4:$A$144</c:f>
              <c:multiLvlStrCache>
                <c:ptCount val="122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</c:v>
                  </c:pt>
                  <c:pt idx="10">
                    <c:v>2</c:v>
                  </c:pt>
                  <c:pt idx="11">
                    <c:v>3</c:v>
                  </c:pt>
                  <c:pt idx="12">
                    <c:v>4</c:v>
                  </c:pt>
                  <c:pt idx="13">
                    <c:v>5</c:v>
                  </c:pt>
                  <c:pt idx="14">
                    <c:v>6</c:v>
                  </c:pt>
                  <c:pt idx="15">
                    <c:v>7</c:v>
                  </c:pt>
                  <c:pt idx="16">
                    <c:v>8</c:v>
                  </c:pt>
                  <c:pt idx="17">
                    <c:v>9</c:v>
                  </c:pt>
                  <c:pt idx="18">
                    <c:v>10</c:v>
                  </c:pt>
                  <c:pt idx="19">
                    <c:v>11</c:v>
                  </c:pt>
                  <c:pt idx="20">
                    <c:v>12</c:v>
                  </c:pt>
                  <c:pt idx="21">
                    <c:v>13</c:v>
                  </c:pt>
                  <c:pt idx="22">
                    <c:v>14</c:v>
                  </c:pt>
                  <c:pt idx="23">
                    <c:v>15</c:v>
                  </c:pt>
                  <c:pt idx="24">
                    <c:v>16</c:v>
                  </c:pt>
                  <c:pt idx="25">
                    <c:v>17</c:v>
                  </c:pt>
                  <c:pt idx="26">
                    <c:v>18</c:v>
                  </c:pt>
                  <c:pt idx="27">
                    <c:v>1</c:v>
                  </c:pt>
                  <c:pt idx="28">
                    <c:v>2</c:v>
                  </c:pt>
                  <c:pt idx="29">
                    <c:v>3</c:v>
                  </c:pt>
                  <c:pt idx="30">
                    <c:v>4</c:v>
                  </c:pt>
                  <c:pt idx="31">
                    <c:v>5</c:v>
                  </c:pt>
                  <c:pt idx="32">
                    <c:v>6</c:v>
                  </c:pt>
                  <c:pt idx="33">
                    <c:v>7</c:v>
                  </c:pt>
                  <c:pt idx="34">
                    <c:v>8</c:v>
                  </c:pt>
                  <c:pt idx="35">
                    <c:v>9</c:v>
                  </c:pt>
                  <c:pt idx="36">
                    <c:v>1</c:v>
                  </c:pt>
                  <c:pt idx="37">
                    <c:v>2</c:v>
                  </c:pt>
                  <c:pt idx="38">
                    <c:v>3</c:v>
                  </c:pt>
                  <c:pt idx="39">
                    <c:v>4</c:v>
                  </c:pt>
                  <c:pt idx="40">
                    <c:v>5</c:v>
                  </c:pt>
                  <c:pt idx="41">
                    <c:v>6</c:v>
                  </c:pt>
                  <c:pt idx="42">
                    <c:v>7</c:v>
                  </c:pt>
                  <c:pt idx="43">
                    <c:v>8</c:v>
                  </c:pt>
                  <c:pt idx="44">
                    <c:v>9</c:v>
                  </c:pt>
                  <c:pt idx="45">
                    <c:v>10</c:v>
                  </c:pt>
                  <c:pt idx="46">
                    <c:v>11</c:v>
                  </c:pt>
                  <c:pt idx="47">
                    <c:v>12</c:v>
                  </c:pt>
                  <c:pt idx="48">
                    <c:v>13</c:v>
                  </c:pt>
                  <c:pt idx="49">
                    <c:v>14</c:v>
                  </c:pt>
                  <c:pt idx="50">
                    <c:v>15</c:v>
                  </c:pt>
                  <c:pt idx="51">
                    <c:v>16</c:v>
                  </c:pt>
                  <c:pt idx="52">
                    <c:v>17</c:v>
                  </c:pt>
                  <c:pt idx="53">
                    <c:v>18</c:v>
                  </c:pt>
                  <c:pt idx="54">
                    <c:v>1</c:v>
                  </c:pt>
                  <c:pt idx="55">
                    <c:v>2</c:v>
                  </c:pt>
                  <c:pt idx="56">
                    <c:v>3</c:v>
                  </c:pt>
                  <c:pt idx="57">
                    <c:v>4</c:v>
                  </c:pt>
                  <c:pt idx="58">
                    <c:v>5</c:v>
                  </c:pt>
                  <c:pt idx="59">
                    <c:v>6</c:v>
                  </c:pt>
                  <c:pt idx="60">
                    <c:v>7</c:v>
                  </c:pt>
                  <c:pt idx="61">
                    <c:v>8</c:v>
                  </c:pt>
                  <c:pt idx="62">
                    <c:v>9</c:v>
                  </c:pt>
                  <c:pt idx="63">
                    <c:v>10</c:v>
                  </c:pt>
                  <c:pt idx="64">
                    <c:v>11</c:v>
                  </c:pt>
                  <c:pt idx="65">
                    <c:v>12</c:v>
                  </c:pt>
                  <c:pt idx="66">
                    <c:v>13</c:v>
                  </c:pt>
                  <c:pt idx="67">
                    <c:v>14</c:v>
                  </c:pt>
                  <c:pt idx="68">
                    <c:v>15</c:v>
                  </c:pt>
                  <c:pt idx="69">
                    <c:v>16</c:v>
                  </c:pt>
                  <c:pt idx="70">
                    <c:v>17</c:v>
                  </c:pt>
                  <c:pt idx="71">
                    <c:v>18</c:v>
                  </c:pt>
                  <c:pt idx="72">
                    <c:v>1</c:v>
                  </c:pt>
                  <c:pt idx="73">
                    <c:v>2</c:v>
                  </c:pt>
                  <c:pt idx="74">
                    <c:v>3</c:v>
                  </c:pt>
                  <c:pt idx="75">
                    <c:v>4</c:v>
                  </c:pt>
                  <c:pt idx="76">
                    <c:v>5</c:v>
                  </c:pt>
                  <c:pt idx="77">
                    <c:v>6</c:v>
                  </c:pt>
                  <c:pt idx="78">
                    <c:v>7</c:v>
                  </c:pt>
                  <c:pt idx="79">
                    <c:v>8</c:v>
                  </c:pt>
                  <c:pt idx="80">
                    <c:v>9</c:v>
                  </c:pt>
                  <c:pt idx="81">
                    <c:v>12</c:v>
                  </c:pt>
                  <c:pt idx="82">
                    <c:v>13</c:v>
                  </c:pt>
                  <c:pt idx="83">
                    <c:v>14</c:v>
                  </c:pt>
                  <c:pt idx="84">
                    <c:v>15</c:v>
                  </c:pt>
                  <c:pt idx="85">
                    <c:v>16</c:v>
                  </c:pt>
                  <c:pt idx="86">
                    <c:v>1</c:v>
                  </c:pt>
                  <c:pt idx="87">
                    <c:v>2</c:v>
                  </c:pt>
                  <c:pt idx="88">
                    <c:v>3</c:v>
                  </c:pt>
                  <c:pt idx="89">
                    <c:v>4</c:v>
                  </c:pt>
                  <c:pt idx="90">
                    <c:v>5</c:v>
                  </c:pt>
                  <c:pt idx="91">
                    <c:v>6</c:v>
                  </c:pt>
                  <c:pt idx="92">
                    <c:v>7</c:v>
                  </c:pt>
                  <c:pt idx="93">
                    <c:v>8</c:v>
                  </c:pt>
                  <c:pt idx="94">
                    <c:v>9</c:v>
                  </c:pt>
                  <c:pt idx="95">
                    <c:v>10</c:v>
                  </c:pt>
                  <c:pt idx="96">
                    <c:v>11</c:v>
                  </c:pt>
                  <c:pt idx="97">
                    <c:v>12</c:v>
                  </c:pt>
                  <c:pt idx="98">
                    <c:v>13</c:v>
                  </c:pt>
                  <c:pt idx="99">
                    <c:v>14</c:v>
                  </c:pt>
                  <c:pt idx="100">
                    <c:v>15</c:v>
                  </c:pt>
                  <c:pt idx="101">
                    <c:v>16</c:v>
                  </c:pt>
                  <c:pt idx="102">
                    <c:v>17</c:v>
                  </c:pt>
                  <c:pt idx="103">
                    <c:v>18</c:v>
                  </c:pt>
                  <c:pt idx="104">
                    <c:v>1</c:v>
                  </c:pt>
                  <c:pt idx="105">
                    <c:v>2</c:v>
                  </c:pt>
                  <c:pt idx="106">
                    <c:v>3</c:v>
                  </c:pt>
                  <c:pt idx="107">
                    <c:v>4</c:v>
                  </c:pt>
                  <c:pt idx="108">
                    <c:v>5</c:v>
                  </c:pt>
                  <c:pt idx="109">
                    <c:v>6</c:v>
                  </c:pt>
                  <c:pt idx="110">
                    <c:v>7</c:v>
                  </c:pt>
                  <c:pt idx="111">
                    <c:v>8</c:v>
                  </c:pt>
                  <c:pt idx="112">
                    <c:v>9</c:v>
                  </c:pt>
                  <c:pt idx="113">
                    <c:v>10</c:v>
                  </c:pt>
                  <c:pt idx="114">
                    <c:v>11</c:v>
                  </c:pt>
                  <c:pt idx="115">
                    <c:v>12</c:v>
                  </c:pt>
                  <c:pt idx="116">
                    <c:v>13</c:v>
                  </c:pt>
                  <c:pt idx="117">
                    <c:v>14</c:v>
                  </c:pt>
                  <c:pt idx="118">
                    <c:v>15</c:v>
                  </c:pt>
                  <c:pt idx="119">
                    <c:v>16</c:v>
                  </c:pt>
                  <c:pt idx="120">
                    <c:v>17</c:v>
                  </c:pt>
                  <c:pt idx="121">
                    <c:v>18</c:v>
                  </c:pt>
                </c:lvl>
                <c:lvl>
                  <c:pt idx="0">
                    <c:v>El Higueral Golf White</c:v>
                  </c:pt>
                  <c:pt idx="9">
                    <c:v>Gualdemina Sud White</c:v>
                  </c:pt>
                  <c:pt idx="27">
                    <c:v>EG-white</c:v>
                  </c:pt>
                  <c:pt idx="36">
                    <c:v>Woold Wit</c:v>
                  </c:pt>
                  <c:pt idx="54">
                    <c:v>EG-white</c:v>
                  </c:pt>
                  <c:pt idx="72">
                    <c:v>Rosendaelsche Wit</c:v>
                  </c:pt>
                  <c:pt idx="81">
                    <c:v>nngc</c:v>
                  </c:pt>
                  <c:pt idx="86">
                    <c:v>nngc</c:v>
                  </c:pt>
                  <c:pt idx="104">
                    <c:v>EG-white</c:v>
                  </c:pt>
                </c:lvl>
                <c:lvl>
                  <c:pt idx="0">
                    <c:v>29-4-2019 14:00</c:v>
                  </c:pt>
                  <c:pt idx="9">
                    <c:v>3-5-2019 12:00</c:v>
                  </c:pt>
                  <c:pt idx="27">
                    <c:v>24-5-2019 12:00</c:v>
                  </c:pt>
                  <c:pt idx="36">
                    <c:v>25-5-2019 12:00</c:v>
                  </c:pt>
                  <c:pt idx="54">
                    <c:v>30-5-2019 16:00</c:v>
                  </c:pt>
                  <c:pt idx="72">
                    <c:v>31-5-2019 13:00</c:v>
                  </c:pt>
                  <c:pt idx="81">
                    <c:v>7-6-2019 13:00</c:v>
                  </c:pt>
                  <c:pt idx="86">
                    <c:v>8-6-2019 09:25</c:v>
                  </c:pt>
                  <c:pt idx="104">
                    <c:v>13-6-2019 17:00</c:v>
                  </c:pt>
                </c:lvl>
              </c:multiLvlStrCache>
            </c:multiLvlStrRef>
          </c:cat>
          <c:val>
            <c:numRef>
              <c:f>'Add20190621-Test-SetG3'!$B$4:$B$144</c:f>
              <c:numCache>
                <c:formatCode>General</c:formatCode>
                <c:ptCount val="122"/>
                <c:pt idx="0">
                  <c:v>-0.43999999999999995</c:v>
                </c:pt>
                <c:pt idx="1">
                  <c:v>8.0000000000000071E-2</c:v>
                </c:pt>
                <c:pt idx="2">
                  <c:v>-1.02</c:v>
                </c:pt>
                <c:pt idx="3">
                  <c:v>-0.20999999999999996</c:v>
                </c:pt>
                <c:pt idx="4">
                  <c:v>-0.91999999999999993</c:v>
                </c:pt>
                <c:pt idx="5">
                  <c:v>-0.34999999999999964</c:v>
                </c:pt>
                <c:pt idx="6">
                  <c:v>0.82500000000000018</c:v>
                </c:pt>
                <c:pt idx="7">
                  <c:v>4.9999999999998934E-3</c:v>
                </c:pt>
                <c:pt idx="8">
                  <c:v>-6.0000000000000053E-2</c:v>
                </c:pt>
                <c:pt idx="9">
                  <c:v>8.0000000000000071E-2</c:v>
                </c:pt>
                <c:pt idx="10">
                  <c:v>0.12000000000000011</c:v>
                </c:pt>
                <c:pt idx="11">
                  <c:v>4.9999999999998934E-3</c:v>
                </c:pt>
                <c:pt idx="12">
                  <c:v>-0.65500000000000025</c:v>
                </c:pt>
                <c:pt idx="13">
                  <c:v>8.3000000000000185E-2</c:v>
                </c:pt>
                <c:pt idx="14">
                  <c:v>-0.17999999999999972</c:v>
                </c:pt>
                <c:pt idx="15">
                  <c:v>0.59750000000000014</c:v>
                </c:pt>
                <c:pt idx="16">
                  <c:v>-0.77500000000000036</c:v>
                </c:pt>
                <c:pt idx="17">
                  <c:v>0.16999999999999993</c:v>
                </c:pt>
                <c:pt idx="18">
                  <c:v>8.0000000000000071E-2</c:v>
                </c:pt>
                <c:pt idx="19">
                  <c:v>4.9999999999999822E-2</c:v>
                </c:pt>
                <c:pt idx="20">
                  <c:v>0.82500000000000018</c:v>
                </c:pt>
                <c:pt idx="21">
                  <c:v>-8.0000000000000071E-2</c:v>
                </c:pt>
                <c:pt idx="22">
                  <c:v>4.9999999999999822E-2</c:v>
                </c:pt>
                <c:pt idx="23">
                  <c:v>-6.0000000000000053E-2</c:v>
                </c:pt>
                <c:pt idx="24">
                  <c:v>-6.0000000000000053E-2</c:v>
                </c:pt>
                <c:pt idx="25">
                  <c:v>0.47499999999999964</c:v>
                </c:pt>
                <c:pt idx="26">
                  <c:v>4.9999999999998934E-3</c:v>
                </c:pt>
                <c:pt idx="27">
                  <c:v>8.0000000000000071E-2</c:v>
                </c:pt>
                <c:pt idx="28">
                  <c:v>0.81099999999999994</c:v>
                </c:pt>
                <c:pt idx="29">
                  <c:v>-0.79</c:v>
                </c:pt>
                <c:pt idx="30">
                  <c:v>-0.17999999999999972</c:v>
                </c:pt>
                <c:pt idx="31">
                  <c:v>-8.0000000000000071E-2</c:v>
                </c:pt>
                <c:pt idx="32">
                  <c:v>4.9999999999998934E-3</c:v>
                </c:pt>
                <c:pt idx="33">
                  <c:v>0.41000000000000014</c:v>
                </c:pt>
                <c:pt idx="34">
                  <c:v>-9.9999999999997868E-3</c:v>
                </c:pt>
                <c:pt idx="35">
                  <c:v>-0.20999999999999996</c:v>
                </c:pt>
                <c:pt idx="36">
                  <c:v>-2.4999999999999911E-2</c:v>
                </c:pt>
                <c:pt idx="37">
                  <c:v>-1.7199999999999998</c:v>
                </c:pt>
                <c:pt idx="38">
                  <c:v>-1.1799999999999997</c:v>
                </c:pt>
                <c:pt idx="39">
                  <c:v>0.16999999999999993</c:v>
                </c:pt>
                <c:pt idx="40">
                  <c:v>-0.87999999999999989</c:v>
                </c:pt>
                <c:pt idx="41">
                  <c:v>-0.99500000000000011</c:v>
                </c:pt>
                <c:pt idx="42">
                  <c:v>8.0000000000000071E-2</c:v>
                </c:pt>
                <c:pt idx="43">
                  <c:v>-9.9999999999997868E-3</c:v>
                </c:pt>
                <c:pt idx="44">
                  <c:v>-1.21</c:v>
                </c:pt>
                <c:pt idx="45">
                  <c:v>0.22499999999999964</c:v>
                </c:pt>
                <c:pt idx="46">
                  <c:v>-6.0000000000000053E-2</c:v>
                </c:pt>
                <c:pt idx="47">
                  <c:v>-2.1799999999999997</c:v>
                </c:pt>
                <c:pt idx="48">
                  <c:v>-0.91999999999999993</c:v>
                </c:pt>
                <c:pt idx="49">
                  <c:v>4.9999999999999822E-2</c:v>
                </c:pt>
                <c:pt idx="50">
                  <c:v>-6.0000000000000053E-2</c:v>
                </c:pt>
                <c:pt idx="51">
                  <c:v>0.89000000000000012</c:v>
                </c:pt>
                <c:pt idx="52">
                  <c:v>8.4999999999999964E-2</c:v>
                </c:pt>
                <c:pt idx="53">
                  <c:v>-0.17999999999999972</c:v>
                </c:pt>
                <c:pt idx="54">
                  <c:v>8.0000000000000071E-2</c:v>
                </c:pt>
                <c:pt idx="55">
                  <c:v>-0.18900000000000006</c:v>
                </c:pt>
                <c:pt idx="56">
                  <c:v>-0.79</c:v>
                </c:pt>
                <c:pt idx="57">
                  <c:v>-0.17999999999999972</c:v>
                </c:pt>
                <c:pt idx="58">
                  <c:v>-8.0000000000000071E-2</c:v>
                </c:pt>
                <c:pt idx="59">
                  <c:v>-0.99500000000000011</c:v>
                </c:pt>
                <c:pt idx="60">
                  <c:v>0.41000000000000014</c:v>
                </c:pt>
                <c:pt idx="61">
                  <c:v>-0.95000000000000018</c:v>
                </c:pt>
                <c:pt idx="62">
                  <c:v>-1.21</c:v>
                </c:pt>
                <c:pt idx="63">
                  <c:v>-0.52500000000000036</c:v>
                </c:pt>
                <c:pt idx="64">
                  <c:v>-0.87999999999999989</c:v>
                </c:pt>
                <c:pt idx="65">
                  <c:v>-0.83000000000000007</c:v>
                </c:pt>
                <c:pt idx="66">
                  <c:v>-0.91699999999999982</c:v>
                </c:pt>
                <c:pt idx="67">
                  <c:v>-0.98000000000000043</c:v>
                </c:pt>
                <c:pt idx="68">
                  <c:v>0.69500000000000028</c:v>
                </c:pt>
                <c:pt idx="69">
                  <c:v>0.12000000000000011</c:v>
                </c:pt>
                <c:pt idx="70">
                  <c:v>-0.17999999999999972</c:v>
                </c:pt>
                <c:pt idx="71">
                  <c:v>8.0000000000000071E-2</c:v>
                </c:pt>
                <c:pt idx="72">
                  <c:v>-0.9115000000000002</c:v>
                </c:pt>
                <c:pt idx="73">
                  <c:v>0.16999999999999993</c:v>
                </c:pt>
                <c:pt idx="74">
                  <c:v>-0.91999999999999993</c:v>
                </c:pt>
                <c:pt idx="75">
                  <c:v>-0.17999999999999972</c:v>
                </c:pt>
                <c:pt idx="76">
                  <c:v>0.28000000000000025</c:v>
                </c:pt>
                <c:pt idx="77">
                  <c:v>-1.79</c:v>
                </c:pt>
                <c:pt idx="78">
                  <c:v>-2.7750000000000004</c:v>
                </c:pt>
                <c:pt idx="79">
                  <c:v>0.82000000000000028</c:v>
                </c:pt>
                <c:pt idx="80">
                  <c:v>-1.9500000000000002</c:v>
                </c:pt>
                <c:pt idx="81">
                  <c:v>-1.915</c:v>
                </c:pt>
                <c:pt idx="82">
                  <c:v>-0.20999999999999996</c:v>
                </c:pt>
                <c:pt idx="83">
                  <c:v>0.28000000000000047</c:v>
                </c:pt>
                <c:pt idx="84">
                  <c:v>-0.92250000000000032</c:v>
                </c:pt>
                <c:pt idx="85">
                  <c:v>-6.0000000000000053E-2</c:v>
                </c:pt>
                <c:pt idx="86">
                  <c:v>-0.95000000000000018</c:v>
                </c:pt>
                <c:pt idx="87">
                  <c:v>0.74000000000000021</c:v>
                </c:pt>
                <c:pt idx="88">
                  <c:v>-2.29</c:v>
                </c:pt>
                <c:pt idx="89">
                  <c:v>0.9700000000000002</c:v>
                </c:pt>
                <c:pt idx="90">
                  <c:v>-1.08</c:v>
                </c:pt>
                <c:pt idx="91">
                  <c:v>-0.17499999999999982</c:v>
                </c:pt>
                <c:pt idx="92">
                  <c:v>8.8499999999999801E-2</c:v>
                </c:pt>
                <c:pt idx="93">
                  <c:v>-0.30499999999999972</c:v>
                </c:pt>
                <c:pt idx="94">
                  <c:v>-2.9999999999999805E-2</c:v>
                </c:pt>
                <c:pt idx="95">
                  <c:v>-0.10999999999999988</c:v>
                </c:pt>
                <c:pt idx="96">
                  <c:v>-0.17999999999999972</c:v>
                </c:pt>
                <c:pt idx="97">
                  <c:v>1.153</c:v>
                </c:pt>
                <c:pt idx="98">
                  <c:v>0.79</c:v>
                </c:pt>
                <c:pt idx="99">
                  <c:v>0.28000000000000025</c:v>
                </c:pt>
                <c:pt idx="100">
                  <c:v>-0.92250000000000032</c:v>
                </c:pt>
                <c:pt idx="101">
                  <c:v>-1.06</c:v>
                </c:pt>
                <c:pt idx="102">
                  <c:v>-0.95000000000000018</c:v>
                </c:pt>
                <c:pt idx="103">
                  <c:v>0.97500000000000009</c:v>
                </c:pt>
                <c:pt idx="104">
                  <c:v>1.08</c:v>
                </c:pt>
                <c:pt idx="105">
                  <c:v>-1.1890000000000001</c:v>
                </c:pt>
                <c:pt idx="106">
                  <c:v>0.20999999999999996</c:v>
                </c:pt>
                <c:pt idx="107">
                  <c:v>-0.17999999999999972</c:v>
                </c:pt>
                <c:pt idx="108">
                  <c:v>-8.0000000000000071E-2</c:v>
                </c:pt>
                <c:pt idx="109">
                  <c:v>4.9999999999998934E-3</c:v>
                </c:pt>
                <c:pt idx="110">
                  <c:v>0.41000000000000014</c:v>
                </c:pt>
                <c:pt idx="111">
                  <c:v>-9.9999999999997868E-3</c:v>
                </c:pt>
                <c:pt idx="112">
                  <c:v>-0.20999999999999996</c:v>
                </c:pt>
                <c:pt idx="113">
                  <c:v>-0.52500000000000036</c:v>
                </c:pt>
                <c:pt idx="114">
                  <c:v>0.12000000000000011</c:v>
                </c:pt>
                <c:pt idx="115">
                  <c:v>0.16999999999999993</c:v>
                </c:pt>
                <c:pt idx="116">
                  <c:v>-1.9169999999999998</c:v>
                </c:pt>
                <c:pt idx="117">
                  <c:v>1.9999999999999574E-2</c:v>
                </c:pt>
                <c:pt idx="118">
                  <c:v>-0.30499999999999972</c:v>
                </c:pt>
                <c:pt idx="119">
                  <c:v>0.12000000000000011</c:v>
                </c:pt>
                <c:pt idx="120">
                  <c:v>-0.17999999999999972</c:v>
                </c:pt>
                <c:pt idx="121">
                  <c:v>1.08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4A-4CB3-8850-872841B3DF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5000776"/>
        <c:axId val="665001104"/>
      </c:lineChart>
      <c:catAx>
        <c:axId val="665000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65001104"/>
        <c:crosses val="autoZero"/>
        <c:auto val="1"/>
        <c:lblAlgn val="ctr"/>
        <c:lblOffset val="100"/>
        <c:noMultiLvlLbl val="0"/>
      </c:catAx>
      <c:valAx>
        <c:axId val="66500110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6500077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[Bob putting v3 dd210626-dev.xlsm]Add20190621-Test-SetG2!PivotTable2</c:name>
    <c:fmtId val="0"/>
  </c:pivotSource>
  <c:chart>
    <c:title>
      <c:layout/>
      <c:overlay val="0"/>
    </c:title>
    <c:autoTitleDeleted val="0"/>
    <c:pivotFmts>
      <c:pivotFmt>
        <c:idx val="0"/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'Add20190621-Test-SetG2'!$B$4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cat>
            <c:multiLvlStrRef>
              <c:f>'Add20190621-Test-SetG2'!$A$5:$A$246</c:f>
              <c:multiLvlStrCache>
                <c:ptCount val="235"/>
                <c:lvl>
                  <c:pt idx="0">
                    <c:v>15</c:v>
                  </c:pt>
                  <c:pt idx="1">
                    <c:v>21</c:v>
                  </c:pt>
                  <c:pt idx="2">
                    <c:v>22</c:v>
                  </c:pt>
                  <c:pt idx="3">
                    <c:v>27</c:v>
                  </c:pt>
                  <c:pt idx="4">
                    <c:v>34</c:v>
                  </c:pt>
                  <c:pt idx="5">
                    <c:v>55</c:v>
                  </c:pt>
                  <c:pt idx="6">
                    <c:v>63</c:v>
                  </c:pt>
                  <c:pt idx="7">
                    <c:v>78</c:v>
                  </c:pt>
                  <c:pt idx="8">
                    <c:v>85</c:v>
                  </c:pt>
                  <c:pt idx="9">
                    <c:v>168</c:v>
                  </c:pt>
                  <c:pt idx="10">
                    <c:v>8</c:v>
                  </c:pt>
                  <c:pt idx="11">
                    <c:v>9</c:v>
                  </c:pt>
                  <c:pt idx="12">
                    <c:v>11</c:v>
                  </c:pt>
                  <c:pt idx="13">
                    <c:v>12</c:v>
                  </c:pt>
                  <c:pt idx="14">
                    <c:v>13</c:v>
                  </c:pt>
                  <c:pt idx="15">
                    <c:v>14</c:v>
                  </c:pt>
                  <c:pt idx="16">
                    <c:v>15</c:v>
                  </c:pt>
                  <c:pt idx="17">
                    <c:v>17</c:v>
                  </c:pt>
                  <c:pt idx="18">
                    <c:v>19</c:v>
                  </c:pt>
                  <c:pt idx="19">
                    <c:v>22</c:v>
                  </c:pt>
                  <c:pt idx="20">
                    <c:v>26</c:v>
                  </c:pt>
                  <c:pt idx="21">
                    <c:v>44</c:v>
                  </c:pt>
                  <c:pt idx="22">
                    <c:v>60</c:v>
                  </c:pt>
                  <c:pt idx="23">
                    <c:v>63</c:v>
                  </c:pt>
                  <c:pt idx="24">
                    <c:v>68</c:v>
                  </c:pt>
                  <c:pt idx="25">
                    <c:v>74</c:v>
                  </c:pt>
                  <c:pt idx="26">
                    <c:v>75</c:v>
                  </c:pt>
                  <c:pt idx="27">
                    <c:v>77</c:v>
                  </c:pt>
                  <c:pt idx="28">
                    <c:v>82</c:v>
                  </c:pt>
                  <c:pt idx="29">
                    <c:v>85</c:v>
                  </c:pt>
                  <c:pt idx="30">
                    <c:v>87</c:v>
                  </c:pt>
                  <c:pt idx="31">
                    <c:v>92</c:v>
                  </c:pt>
                  <c:pt idx="32">
                    <c:v>93</c:v>
                  </c:pt>
                  <c:pt idx="33">
                    <c:v>96</c:v>
                  </c:pt>
                  <c:pt idx="34">
                    <c:v>106</c:v>
                  </c:pt>
                  <c:pt idx="35">
                    <c:v>107</c:v>
                  </c:pt>
                  <c:pt idx="36">
                    <c:v>109</c:v>
                  </c:pt>
                  <c:pt idx="37">
                    <c:v>114</c:v>
                  </c:pt>
                  <c:pt idx="38">
                    <c:v>118</c:v>
                  </c:pt>
                  <c:pt idx="39">
                    <c:v>119</c:v>
                  </c:pt>
                  <c:pt idx="40">
                    <c:v>120</c:v>
                  </c:pt>
                  <c:pt idx="41">
                    <c:v>121</c:v>
                  </c:pt>
                  <c:pt idx="42">
                    <c:v>124</c:v>
                  </c:pt>
                  <c:pt idx="43">
                    <c:v>125</c:v>
                  </c:pt>
                  <c:pt idx="44">
                    <c:v>126</c:v>
                  </c:pt>
                  <c:pt idx="45">
                    <c:v>129</c:v>
                  </c:pt>
                  <c:pt idx="46">
                    <c:v>131</c:v>
                  </c:pt>
                  <c:pt idx="47">
                    <c:v>132</c:v>
                  </c:pt>
                  <c:pt idx="48">
                    <c:v>135</c:v>
                  </c:pt>
                  <c:pt idx="49">
                    <c:v>142</c:v>
                  </c:pt>
                  <c:pt idx="50">
                    <c:v>145</c:v>
                  </c:pt>
                  <c:pt idx="51">
                    <c:v>148</c:v>
                  </c:pt>
                  <c:pt idx="52">
                    <c:v>152</c:v>
                  </c:pt>
                  <c:pt idx="53">
                    <c:v>153</c:v>
                  </c:pt>
                  <c:pt idx="54">
                    <c:v>155</c:v>
                  </c:pt>
                  <c:pt idx="55">
                    <c:v>156</c:v>
                  </c:pt>
                  <c:pt idx="56">
                    <c:v>157</c:v>
                  </c:pt>
                  <c:pt idx="57">
                    <c:v>166</c:v>
                  </c:pt>
                  <c:pt idx="58">
                    <c:v>167</c:v>
                  </c:pt>
                  <c:pt idx="59">
                    <c:v>168</c:v>
                  </c:pt>
                  <c:pt idx="60">
                    <c:v>173</c:v>
                  </c:pt>
                  <c:pt idx="61">
                    <c:v>175</c:v>
                  </c:pt>
                  <c:pt idx="62">
                    <c:v>182</c:v>
                  </c:pt>
                  <c:pt idx="63">
                    <c:v>188</c:v>
                  </c:pt>
                  <c:pt idx="64">
                    <c:v>190</c:v>
                  </c:pt>
                  <c:pt idx="65">
                    <c:v>197</c:v>
                  </c:pt>
                  <c:pt idx="66">
                    <c:v>199</c:v>
                  </c:pt>
                  <c:pt idx="67">
                    <c:v>202</c:v>
                  </c:pt>
                  <c:pt idx="68">
                    <c:v>206</c:v>
                  </c:pt>
                  <c:pt idx="69">
                    <c:v>208</c:v>
                  </c:pt>
                  <c:pt idx="70">
                    <c:v>215</c:v>
                  </c:pt>
                  <c:pt idx="71">
                    <c:v>234</c:v>
                  </c:pt>
                  <c:pt idx="72">
                    <c:v>235</c:v>
                  </c:pt>
                  <c:pt idx="73">
                    <c:v>241</c:v>
                  </c:pt>
                  <c:pt idx="74">
                    <c:v>258</c:v>
                  </c:pt>
                  <c:pt idx="75">
                    <c:v>276</c:v>
                  </c:pt>
                  <c:pt idx="76">
                    <c:v>280</c:v>
                  </c:pt>
                  <c:pt idx="77">
                    <c:v>284</c:v>
                  </c:pt>
                  <c:pt idx="78">
                    <c:v>295</c:v>
                  </c:pt>
                  <c:pt idx="79">
                    <c:v>317</c:v>
                  </c:pt>
                  <c:pt idx="80">
                    <c:v>328</c:v>
                  </c:pt>
                  <c:pt idx="81">
                    <c:v>351</c:v>
                  </c:pt>
                  <c:pt idx="82">
                    <c:v>377</c:v>
                  </c:pt>
                  <c:pt idx="83">
                    <c:v>0</c:v>
                  </c:pt>
                  <c:pt idx="84">
                    <c:v>1</c:v>
                  </c:pt>
                  <c:pt idx="85">
                    <c:v>2</c:v>
                  </c:pt>
                  <c:pt idx="86">
                    <c:v>3</c:v>
                  </c:pt>
                  <c:pt idx="87">
                    <c:v>4</c:v>
                  </c:pt>
                  <c:pt idx="88">
                    <c:v>5</c:v>
                  </c:pt>
                  <c:pt idx="89">
                    <c:v>7</c:v>
                  </c:pt>
                  <c:pt idx="90">
                    <c:v>8</c:v>
                  </c:pt>
                  <c:pt idx="91">
                    <c:v>9</c:v>
                  </c:pt>
                  <c:pt idx="92">
                    <c:v>10</c:v>
                  </c:pt>
                  <c:pt idx="93">
                    <c:v>11</c:v>
                  </c:pt>
                  <c:pt idx="94">
                    <c:v>12</c:v>
                  </c:pt>
                  <c:pt idx="95">
                    <c:v>13</c:v>
                  </c:pt>
                  <c:pt idx="96">
                    <c:v>14</c:v>
                  </c:pt>
                  <c:pt idx="97">
                    <c:v>15</c:v>
                  </c:pt>
                  <c:pt idx="98">
                    <c:v>17</c:v>
                  </c:pt>
                  <c:pt idx="99">
                    <c:v>19</c:v>
                  </c:pt>
                  <c:pt idx="100">
                    <c:v>21</c:v>
                  </c:pt>
                  <c:pt idx="101">
                    <c:v>24</c:v>
                  </c:pt>
                  <c:pt idx="102">
                    <c:v>38</c:v>
                  </c:pt>
                  <c:pt idx="103">
                    <c:v>60</c:v>
                  </c:pt>
                  <c:pt idx="104">
                    <c:v>101</c:v>
                  </c:pt>
                  <c:pt idx="105">
                    <c:v>131</c:v>
                  </c:pt>
                  <c:pt idx="106">
                    <c:v>137</c:v>
                  </c:pt>
                  <c:pt idx="107">
                    <c:v>170</c:v>
                  </c:pt>
                  <c:pt idx="108">
                    <c:v>199</c:v>
                  </c:pt>
                  <c:pt idx="109">
                    <c:v>206</c:v>
                  </c:pt>
                  <c:pt idx="110">
                    <c:v>230</c:v>
                  </c:pt>
                  <c:pt idx="111">
                    <c:v>284</c:v>
                  </c:pt>
                  <c:pt idx="112">
                    <c:v>328</c:v>
                  </c:pt>
                  <c:pt idx="113">
                    <c:v>13</c:v>
                  </c:pt>
                  <c:pt idx="114">
                    <c:v>14</c:v>
                  </c:pt>
                  <c:pt idx="115">
                    <c:v>15</c:v>
                  </c:pt>
                  <c:pt idx="116">
                    <c:v>16</c:v>
                  </c:pt>
                  <c:pt idx="117">
                    <c:v>19</c:v>
                  </c:pt>
                  <c:pt idx="118">
                    <c:v>20</c:v>
                  </c:pt>
                  <c:pt idx="119">
                    <c:v>21</c:v>
                  </c:pt>
                  <c:pt idx="120">
                    <c:v>22</c:v>
                  </c:pt>
                  <c:pt idx="121">
                    <c:v>26</c:v>
                  </c:pt>
                  <c:pt idx="122">
                    <c:v>27</c:v>
                  </c:pt>
                  <c:pt idx="123">
                    <c:v>30</c:v>
                  </c:pt>
                  <c:pt idx="124">
                    <c:v>33</c:v>
                  </c:pt>
                  <c:pt idx="125">
                    <c:v>35</c:v>
                  </c:pt>
                  <c:pt idx="126">
                    <c:v>37</c:v>
                  </c:pt>
                  <c:pt idx="127">
                    <c:v>40</c:v>
                  </c:pt>
                  <c:pt idx="128">
                    <c:v>42</c:v>
                  </c:pt>
                  <c:pt idx="129">
                    <c:v>44</c:v>
                  </c:pt>
                  <c:pt idx="130">
                    <c:v>45</c:v>
                  </c:pt>
                  <c:pt idx="131">
                    <c:v>55</c:v>
                  </c:pt>
                  <c:pt idx="132">
                    <c:v>90</c:v>
                  </c:pt>
                  <c:pt idx="133">
                    <c:v>101</c:v>
                  </c:pt>
                  <c:pt idx="134">
                    <c:v>106</c:v>
                  </c:pt>
                  <c:pt idx="135">
                    <c:v>126</c:v>
                  </c:pt>
                  <c:pt idx="136">
                    <c:v>129</c:v>
                  </c:pt>
                  <c:pt idx="137">
                    <c:v>131</c:v>
                  </c:pt>
                  <c:pt idx="138">
                    <c:v>132</c:v>
                  </c:pt>
                  <c:pt idx="139">
                    <c:v>133</c:v>
                  </c:pt>
                  <c:pt idx="140">
                    <c:v>135</c:v>
                  </c:pt>
                  <c:pt idx="141">
                    <c:v>140</c:v>
                  </c:pt>
                  <c:pt idx="142">
                    <c:v>148</c:v>
                  </c:pt>
                  <c:pt idx="143">
                    <c:v>153</c:v>
                  </c:pt>
                  <c:pt idx="144">
                    <c:v>157</c:v>
                  </c:pt>
                  <c:pt idx="145">
                    <c:v>164</c:v>
                  </c:pt>
                  <c:pt idx="146">
                    <c:v>202</c:v>
                  </c:pt>
                  <c:pt idx="147">
                    <c:v>252</c:v>
                  </c:pt>
                  <c:pt idx="148">
                    <c:v>267</c:v>
                  </c:pt>
                  <c:pt idx="149">
                    <c:v>291</c:v>
                  </c:pt>
                  <c:pt idx="150">
                    <c:v>328</c:v>
                  </c:pt>
                  <c:pt idx="151">
                    <c:v>129</c:v>
                  </c:pt>
                  <c:pt idx="152">
                    <c:v>136</c:v>
                  </c:pt>
                  <c:pt idx="153">
                    <c:v>142</c:v>
                  </c:pt>
                  <c:pt idx="154">
                    <c:v>152</c:v>
                  </c:pt>
                  <c:pt idx="155">
                    <c:v>153</c:v>
                  </c:pt>
                  <c:pt idx="156">
                    <c:v>157</c:v>
                  </c:pt>
                  <c:pt idx="157">
                    <c:v>166</c:v>
                  </c:pt>
                  <c:pt idx="158">
                    <c:v>167</c:v>
                  </c:pt>
                  <c:pt idx="159">
                    <c:v>168</c:v>
                  </c:pt>
                  <c:pt idx="160">
                    <c:v>171</c:v>
                  </c:pt>
                  <c:pt idx="161">
                    <c:v>175</c:v>
                  </c:pt>
                  <c:pt idx="162">
                    <c:v>183</c:v>
                  </c:pt>
                  <c:pt idx="163">
                    <c:v>186</c:v>
                  </c:pt>
                  <c:pt idx="164">
                    <c:v>188</c:v>
                  </c:pt>
                  <c:pt idx="165">
                    <c:v>189</c:v>
                  </c:pt>
                  <c:pt idx="166">
                    <c:v>190</c:v>
                  </c:pt>
                  <c:pt idx="167">
                    <c:v>195</c:v>
                  </c:pt>
                  <c:pt idx="168">
                    <c:v>208</c:v>
                  </c:pt>
                  <c:pt idx="169">
                    <c:v>221</c:v>
                  </c:pt>
                  <c:pt idx="170">
                    <c:v>222</c:v>
                  </c:pt>
                  <c:pt idx="171">
                    <c:v>226</c:v>
                  </c:pt>
                  <c:pt idx="172">
                    <c:v>227</c:v>
                  </c:pt>
                  <c:pt idx="173">
                    <c:v>277</c:v>
                  </c:pt>
                  <c:pt idx="174">
                    <c:v>301</c:v>
                  </c:pt>
                  <c:pt idx="175">
                    <c:v>308</c:v>
                  </c:pt>
                  <c:pt idx="176">
                    <c:v>309</c:v>
                  </c:pt>
                  <c:pt idx="177">
                    <c:v>322</c:v>
                  </c:pt>
                  <c:pt idx="178">
                    <c:v>323</c:v>
                  </c:pt>
                  <c:pt idx="179">
                    <c:v>329</c:v>
                  </c:pt>
                  <c:pt idx="180">
                    <c:v>332</c:v>
                  </c:pt>
                  <c:pt idx="181">
                    <c:v>335</c:v>
                  </c:pt>
                  <c:pt idx="182">
                    <c:v>344</c:v>
                  </c:pt>
                  <c:pt idx="183">
                    <c:v>351</c:v>
                  </c:pt>
                  <c:pt idx="184">
                    <c:v>352</c:v>
                  </c:pt>
                  <c:pt idx="185">
                    <c:v>354</c:v>
                  </c:pt>
                  <c:pt idx="186">
                    <c:v>359</c:v>
                  </c:pt>
                  <c:pt idx="187">
                    <c:v>363</c:v>
                  </c:pt>
                  <c:pt idx="188">
                    <c:v>377</c:v>
                  </c:pt>
                  <c:pt idx="189">
                    <c:v>378</c:v>
                  </c:pt>
                  <c:pt idx="190">
                    <c:v>382</c:v>
                  </c:pt>
                  <c:pt idx="191">
                    <c:v>383</c:v>
                  </c:pt>
                  <c:pt idx="192">
                    <c:v>387</c:v>
                  </c:pt>
                  <c:pt idx="193">
                    <c:v>394</c:v>
                  </c:pt>
                  <c:pt idx="194">
                    <c:v>398</c:v>
                  </c:pt>
                  <c:pt idx="195">
                    <c:v>399</c:v>
                  </c:pt>
                  <c:pt idx="196">
                    <c:v>400</c:v>
                  </c:pt>
                  <c:pt idx="197">
                    <c:v>402</c:v>
                  </c:pt>
                  <c:pt idx="198">
                    <c:v>404</c:v>
                  </c:pt>
                  <c:pt idx="199">
                    <c:v>408</c:v>
                  </c:pt>
                  <c:pt idx="200">
                    <c:v>410</c:v>
                  </c:pt>
                  <c:pt idx="201">
                    <c:v>411</c:v>
                  </c:pt>
                  <c:pt idx="202">
                    <c:v>412</c:v>
                  </c:pt>
                  <c:pt idx="203">
                    <c:v>413</c:v>
                  </c:pt>
                  <c:pt idx="204">
                    <c:v>420</c:v>
                  </c:pt>
                  <c:pt idx="205">
                    <c:v>421</c:v>
                  </c:pt>
                  <c:pt idx="206">
                    <c:v>424</c:v>
                  </c:pt>
                  <c:pt idx="207">
                    <c:v>427</c:v>
                  </c:pt>
                  <c:pt idx="208">
                    <c:v>432</c:v>
                  </c:pt>
                  <c:pt idx="209">
                    <c:v>434</c:v>
                  </c:pt>
                  <c:pt idx="210">
                    <c:v>439</c:v>
                  </c:pt>
                  <c:pt idx="211">
                    <c:v>441</c:v>
                  </c:pt>
                  <c:pt idx="212">
                    <c:v>446</c:v>
                  </c:pt>
                  <c:pt idx="213">
                    <c:v>447</c:v>
                  </c:pt>
                  <c:pt idx="214">
                    <c:v>455</c:v>
                  </c:pt>
                  <c:pt idx="215">
                    <c:v>460</c:v>
                  </c:pt>
                  <c:pt idx="216">
                    <c:v>475</c:v>
                  </c:pt>
                  <c:pt idx="217">
                    <c:v>478</c:v>
                  </c:pt>
                  <c:pt idx="218">
                    <c:v>487</c:v>
                  </c:pt>
                  <c:pt idx="219">
                    <c:v>501</c:v>
                  </c:pt>
                  <c:pt idx="220">
                    <c:v>507</c:v>
                  </c:pt>
                  <c:pt idx="221">
                    <c:v>511</c:v>
                  </c:pt>
                  <c:pt idx="222">
                    <c:v>514</c:v>
                  </c:pt>
                  <c:pt idx="223">
                    <c:v>530</c:v>
                  </c:pt>
                  <c:pt idx="224">
                    <c:v>535</c:v>
                  </c:pt>
                  <c:pt idx="225">
                    <c:v>541</c:v>
                  </c:pt>
                  <c:pt idx="226">
                    <c:v>542</c:v>
                  </c:pt>
                  <c:pt idx="227">
                    <c:v>550</c:v>
                  </c:pt>
                  <c:pt idx="228">
                    <c:v>551</c:v>
                  </c:pt>
                  <c:pt idx="229">
                    <c:v>554</c:v>
                  </c:pt>
                  <c:pt idx="230">
                    <c:v>566</c:v>
                  </c:pt>
                  <c:pt idx="231">
                    <c:v>568</c:v>
                  </c:pt>
                  <c:pt idx="232">
                    <c:v>575</c:v>
                  </c:pt>
                  <c:pt idx="233">
                    <c:v>577</c:v>
                  </c:pt>
                  <c:pt idx="234">
                    <c:v>612</c:v>
                  </c:pt>
                </c:lvl>
                <c:lvl>
                  <c:pt idx="0">
                    <c:v>Bunker</c:v>
                  </c:pt>
                  <c:pt idx="10">
                    <c:v>Fairway</c:v>
                  </c:pt>
                  <c:pt idx="83">
                    <c:v>Green</c:v>
                  </c:pt>
                  <c:pt idx="102">
                    <c:v>Recovery</c:v>
                  </c:pt>
                  <c:pt idx="113">
                    <c:v>Rough</c:v>
                  </c:pt>
                  <c:pt idx="151">
                    <c:v>Tee</c:v>
                  </c:pt>
                </c:lvl>
              </c:multiLvlStrCache>
            </c:multiLvlStrRef>
          </c:cat>
          <c:val>
            <c:numRef>
              <c:f>'Add20190621-Test-SetG2'!$B$5:$B$246</c:f>
              <c:numCache>
                <c:formatCode>General</c:formatCode>
                <c:ptCount val="235"/>
                <c:pt idx="0">
                  <c:v>-1.100000000000001E-2</c:v>
                </c:pt>
                <c:pt idx="1">
                  <c:v>0.10999999999999988</c:v>
                </c:pt>
                <c:pt idx="2">
                  <c:v>0.29499999999999982</c:v>
                </c:pt>
                <c:pt idx="3">
                  <c:v>-3.0000000000000249E-2</c:v>
                </c:pt>
                <c:pt idx="4">
                  <c:v>-0.76000000000000023</c:v>
                </c:pt>
                <c:pt idx="5">
                  <c:v>-0.28800000000000026</c:v>
                </c:pt>
                <c:pt idx="6">
                  <c:v>0.80999999999999983</c:v>
                </c:pt>
                <c:pt idx="7">
                  <c:v>-0.45999999999999996</c:v>
                </c:pt>
                <c:pt idx="8">
                  <c:v>0.38800000000000012</c:v>
                </c:pt>
                <c:pt idx="9">
                  <c:v>-0.58000000000000007</c:v>
                </c:pt>
                <c:pt idx="10">
                  <c:v>-0.53000000000000025</c:v>
                </c:pt>
                <c:pt idx="11">
                  <c:v>9.7499999999999809E-2</c:v>
                </c:pt>
                <c:pt idx="12">
                  <c:v>-0.15999999999999992</c:v>
                </c:pt>
                <c:pt idx="13">
                  <c:v>-0.22399999999999987</c:v>
                </c:pt>
                <c:pt idx="14">
                  <c:v>-0.23999999999999977</c:v>
                </c:pt>
                <c:pt idx="15">
                  <c:v>-0.64999999999999991</c:v>
                </c:pt>
                <c:pt idx="16">
                  <c:v>-7.0999999999999952E-2</c:v>
                </c:pt>
                <c:pt idx="17">
                  <c:v>0.25</c:v>
                </c:pt>
                <c:pt idx="18">
                  <c:v>-0.57000000000000006</c:v>
                </c:pt>
                <c:pt idx="19">
                  <c:v>0.32999999999999996</c:v>
                </c:pt>
                <c:pt idx="20">
                  <c:v>0.35999999999999988</c:v>
                </c:pt>
                <c:pt idx="21">
                  <c:v>-0.79999999999999982</c:v>
                </c:pt>
                <c:pt idx="22">
                  <c:v>0.14000000000000012</c:v>
                </c:pt>
                <c:pt idx="23">
                  <c:v>-0.18999999999999984</c:v>
                </c:pt>
                <c:pt idx="24">
                  <c:v>-0.29599999999999982</c:v>
                </c:pt>
                <c:pt idx="25">
                  <c:v>0.33000000000000007</c:v>
                </c:pt>
                <c:pt idx="26">
                  <c:v>0.71</c:v>
                </c:pt>
                <c:pt idx="27">
                  <c:v>-0.10200000000000009</c:v>
                </c:pt>
                <c:pt idx="28">
                  <c:v>-0.10200000000000009</c:v>
                </c:pt>
                <c:pt idx="29">
                  <c:v>-1</c:v>
                </c:pt>
                <c:pt idx="30">
                  <c:v>-0.7200000000000002</c:v>
                </c:pt>
                <c:pt idx="31">
                  <c:v>-0.18999999999999995</c:v>
                </c:pt>
                <c:pt idx="32">
                  <c:v>-0.14000000000000012</c:v>
                </c:pt>
                <c:pt idx="33">
                  <c:v>8.7999999999999856E-2</c:v>
                </c:pt>
                <c:pt idx="34">
                  <c:v>-0.22999999999999998</c:v>
                </c:pt>
                <c:pt idx="35">
                  <c:v>-0.19600000000000017</c:v>
                </c:pt>
                <c:pt idx="36">
                  <c:v>-0.80000000000000027</c:v>
                </c:pt>
                <c:pt idx="37">
                  <c:v>0.13800000000000012</c:v>
                </c:pt>
                <c:pt idx="38">
                  <c:v>-0.62000000000000011</c:v>
                </c:pt>
                <c:pt idx="39">
                  <c:v>-0.33000000000000007</c:v>
                </c:pt>
                <c:pt idx="40">
                  <c:v>-2.0000000000000018E-3</c:v>
                </c:pt>
                <c:pt idx="41">
                  <c:v>0.29000000000000004</c:v>
                </c:pt>
                <c:pt idx="42">
                  <c:v>0.51</c:v>
                </c:pt>
                <c:pt idx="43">
                  <c:v>-0.14599999999999991</c:v>
                </c:pt>
                <c:pt idx="44">
                  <c:v>5.2000000000000046E-2</c:v>
                </c:pt>
                <c:pt idx="45">
                  <c:v>4.2666666666666853E-2</c:v>
                </c:pt>
                <c:pt idx="46">
                  <c:v>0.22600000000000009</c:v>
                </c:pt>
                <c:pt idx="47">
                  <c:v>-0.16599999999999993</c:v>
                </c:pt>
                <c:pt idx="48">
                  <c:v>-8.2499999999999851E-2</c:v>
                </c:pt>
                <c:pt idx="49">
                  <c:v>-0.37999999999999989</c:v>
                </c:pt>
                <c:pt idx="50">
                  <c:v>-2.9999999999999805E-2</c:v>
                </c:pt>
                <c:pt idx="51">
                  <c:v>-0.20000000000000018</c:v>
                </c:pt>
                <c:pt idx="52">
                  <c:v>0.253</c:v>
                </c:pt>
                <c:pt idx="53">
                  <c:v>8.0000000000000071E-3</c:v>
                </c:pt>
                <c:pt idx="54">
                  <c:v>-0.49000000000000021</c:v>
                </c:pt>
                <c:pt idx="55">
                  <c:v>0.12799999999999989</c:v>
                </c:pt>
                <c:pt idx="56">
                  <c:v>-0.36700000000000021</c:v>
                </c:pt>
                <c:pt idx="57">
                  <c:v>-8.333333333333319E-2</c:v>
                </c:pt>
                <c:pt idx="58">
                  <c:v>0.3680000000000001</c:v>
                </c:pt>
                <c:pt idx="59">
                  <c:v>0.60499999999999998</c:v>
                </c:pt>
                <c:pt idx="60">
                  <c:v>-0.39999999999999991</c:v>
                </c:pt>
                <c:pt idx="61">
                  <c:v>-7.2000000000000064E-2</c:v>
                </c:pt>
                <c:pt idx="62">
                  <c:v>-0.25999999999999979</c:v>
                </c:pt>
                <c:pt idx="63">
                  <c:v>-0.33999999999999986</c:v>
                </c:pt>
                <c:pt idx="64">
                  <c:v>0.20999999999999985</c:v>
                </c:pt>
                <c:pt idx="65">
                  <c:v>-0.72500000000000009</c:v>
                </c:pt>
                <c:pt idx="66">
                  <c:v>2.399999999999991E-2</c:v>
                </c:pt>
                <c:pt idx="67">
                  <c:v>-0.5</c:v>
                </c:pt>
                <c:pt idx="68">
                  <c:v>2.9999999999999805E-2</c:v>
                </c:pt>
                <c:pt idx="69">
                  <c:v>-0.38000000000000034</c:v>
                </c:pt>
                <c:pt idx="70">
                  <c:v>0.60799999999999987</c:v>
                </c:pt>
                <c:pt idx="71">
                  <c:v>-7.9999999999999627E-2</c:v>
                </c:pt>
                <c:pt idx="72">
                  <c:v>0.45400000000000018</c:v>
                </c:pt>
                <c:pt idx="73">
                  <c:v>-0.16999999999999993</c:v>
                </c:pt>
                <c:pt idx="74">
                  <c:v>-8.9999999999999858E-2</c:v>
                </c:pt>
                <c:pt idx="75">
                  <c:v>0</c:v>
                </c:pt>
                <c:pt idx="76">
                  <c:v>0.18999999999999995</c:v>
                </c:pt>
                <c:pt idx="77">
                  <c:v>0</c:v>
                </c:pt>
                <c:pt idx="78">
                  <c:v>6.0000000000000053E-2</c:v>
                </c:pt>
                <c:pt idx="79">
                  <c:v>0.12999999999999989</c:v>
                </c:pt>
                <c:pt idx="80">
                  <c:v>0.17999999999999972</c:v>
                </c:pt>
                <c:pt idx="81">
                  <c:v>-1.9999999999999796E-2</c:v>
                </c:pt>
                <c:pt idx="82">
                  <c:v>0.3100000000000005</c:v>
                </c:pt>
                <c:pt idx="83">
                  <c:v>1.0000000000000009E-2</c:v>
                </c:pt>
                <c:pt idx="84">
                  <c:v>-0.11080645161290326</c:v>
                </c:pt>
                <c:pt idx="85">
                  <c:v>-0.32250000000000001</c:v>
                </c:pt>
                <c:pt idx="86">
                  <c:v>6.1500000000000013E-2</c:v>
                </c:pt>
                <c:pt idx="87">
                  <c:v>-0.24200000000000005</c:v>
                </c:pt>
                <c:pt idx="88">
                  <c:v>2.7200000000000023E-2</c:v>
                </c:pt>
                <c:pt idx="89">
                  <c:v>-4.7999999999999932E-2</c:v>
                </c:pt>
                <c:pt idx="90">
                  <c:v>-0.14975000000000008</c:v>
                </c:pt>
                <c:pt idx="91">
                  <c:v>-0.1614285714285715</c:v>
                </c:pt>
                <c:pt idx="92">
                  <c:v>-0.30550000000000005</c:v>
                </c:pt>
                <c:pt idx="93">
                  <c:v>0.152</c:v>
                </c:pt>
                <c:pt idx="94">
                  <c:v>-0.3153333333333333</c:v>
                </c:pt>
                <c:pt idx="95">
                  <c:v>-7.7999999999999847E-2</c:v>
                </c:pt>
                <c:pt idx="96">
                  <c:v>-0.20666666666666664</c:v>
                </c:pt>
                <c:pt idx="97">
                  <c:v>5.3000000000000103E-2</c:v>
                </c:pt>
                <c:pt idx="98">
                  <c:v>-0.26799999999999979</c:v>
                </c:pt>
                <c:pt idx="99">
                  <c:v>-0.32100000000000006</c:v>
                </c:pt>
                <c:pt idx="100">
                  <c:v>-0.48799999999999977</c:v>
                </c:pt>
                <c:pt idx="101">
                  <c:v>0.16199999999999992</c:v>
                </c:pt>
                <c:pt idx="102">
                  <c:v>0.27</c:v>
                </c:pt>
                <c:pt idx="103">
                  <c:v>-1</c:v>
                </c:pt>
                <c:pt idx="104">
                  <c:v>-0.16000000000000014</c:v>
                </c:pt>
                <c:pt idx="105">
                  <c:v>-0.35000000000000009</c:v>
                </c:pt>
                <c:pt idx="106">
                  <c:v>-0.35000000000000009</c:v>
                </c:pt>
                <c:pt idx="107">
                  <c:v>-0.41000000000000014</c:v>
                </c:pt>
                <c:pt idx="108">
                  <c:v>-0.2799999999999998</c:v>
                </c:pt>
                <c:pt idx="109">
                  <c:v>-6.0000000000000053E-2</c:v>
                </c:pt>
                <c:pt idx="110">
                  <c:v>0.14000000000000012</c:v>
                </c:pt>
                <c:pt idx="111">
                  <c:v>-0.63999999999999968</c:v>
                </c:pt>
                <c:pt idx="112">
                  <c:v>-0.78999999999999959</c:v>
                </c:pt>
                <c:pt idx="113">
                  <c:v>-5.3333333333333378E-2</c:v>
                </c:pt>
                <c:pt idx="114">
                  <c:v>-8.9999999999999858E-2</c:v>
                </c:pt>
                <c:pt idx="115">
                  <c:v>0.11280000000000023</c:v>
                </c:pt>
                <c:pt idx="116">
                  <c:v>0.3400000000000003</c:v>
                </c:pt>
                <c:pt idx="117">
                  <c:v>0.54999999999999982</c:v>
                </c:pt>
                <c:pt idx="118">
                  <c:v>-0.28666666666666679</c:v>
                </c:pt>
                <c:pt idx="119">
                  <c:v>0.28999999999999981</c:v>
                </c:pt>
                <c:pt idx="120">
                  <c:v>-0.33400000000000019</c:v>
                </c:pt>
                <c:pt idx="121">
                  <c:v>-0.20800000000000018</c:v>
                </c:pt>
                <c:pt idx="122">
                  <c:v>0.45999999999999996</c:v>
                </c:pt>
                <c:pt idx="123">
                  <c:v>-0.20800000000000018</c:v>
                </c:pt>
                <c:pt idx="124">
                  <c:v>-0.7430000000000001</c:v>
                </c:pt>
                <c:pt idx="125">
                  <c:v>-0.20800000000000018</c:v>
                </c:pt>
                <c:pt idx="126">
                  <c:v>0.41899999999999982</c:v>
                </c:pt>
                <c:pt idx="127">
                  <c:v>-0.16000000000000014</c:v>
                </c:pt>
                <c:pt idx="128">
                  <c:v>3.3999999999999808E-2</c:v>
                </c:pt>
                <c:pt idx="129">
                  <c:v>-0.81</c:v>
                </c:pt>
                <c:pt idx="130">
                  <c:v>-0.29600000000000026</c:v>
                </c:pt>
                <c:pt idx="131">
                  <c:v>-7.2000000000000286E-2</c:v>
                </c:pt>
                <c:pt idx="132">
                  <c:v>6.6000000000000059E-2</c:v>
                </c:pt>
                <c:pt idx="133">
                  <c:v>0.248</c:v>
                </c:pt>
                <c:pt idx="134">
                  <c:v>-0.62999999999999989</c:v>
                </c:pt>
                <c:pt idx="135">
                  <c:v>-2.8000000000000025E-2</c:v>
                </c:pt>
                <c:pt idx="136">
                  <c:v>0.25600000000000001</c:v>
                </c:pt>
                <c:pt idx="137">
                  <c:v>1.02</c:v>
                </c:pt>
                <c:pt idx="138">
                  <c:v>0.20999999999999996</c:v>
                </c:pt>
                <c:pt idx="139">
                  <c:v>-0.40000000000000013</c:v>
                </c:pt>
                <c:pt idx="140">
                  <c:v>0.25600000000000001</c:v>
                </c:pt>
                <c:pt idx="141">
                  <c:v>-0.43999999999999995</c:v>
                </c:pt>
                <c:pt idx="142">
                  <c:v>-0.10999999999999988</c:v>
                </c:pt>
                <c:pt idx="143">
                  <c:v>-0.52</c:v>
                </c:pt>
                <c:pt idx="144">
                  <c:v>-0.54999999999999982</c:v>
                </c:pt>
                <c:pt idx="145">
                  <c:v>0.51800000000000002</c:v>
                </c:pt>
                <c:pt idx="146">
                  <c:v>-6.0000000000000053E-2</c:v>
                </c:pt>
                <c:pt idx="147">
                  <c:v>-0.21999999999999975</c:v>
                </c:pt>
                <c:pt idx="148">
                  <c:v>-0.31999999999999984</c:v>
                </c:pt>
                <c:pt idx="149">
                  <c:v>0.31000000000000005</c:v>
                </c:pt>
                <c:pt idx="150">
                  <c:v>0.26999999999999957</c:v>
                </c:pt>
                <c:pt idx="151">
                  <c:v>0.8400000000000003</c:v>
                </c:pt>
                <c:pt idx="152">
                  <c:v>0.63000000000000012</c:v>
                </c:pt>
                <c:pt idx="153">
                  <c:v>-4.8000000000000043E-2</c:v>
                </c:pt>
                <c:pt idx="154">
                  <c:v>2.000000000000024E-2</c:v>
                </c:pt>
                <c:pt idx="155">
                  <c:v>0.13800000000000012</c:v>
                </c:pt>
                <c:pt idx="156">
                  <c:v>0.19200000000000017</c:v>
                </c:pt>
                <c:pt idx="157">
                  <c:v>-0.24000000000000021</c:v>
                </c:pt>
                <c:pt idx="158">
                  <c:v>-0.54</c:v>
                </c:pt>
                <c:pt idx="159">
                  <c:v>-5.0000000000000044E-2</c:v>
                </c:pt>
                <c:pt idx="160">
                  <c:v>-0.16500000000000004</c:v>
                </c:pt>
                <c:pt idx="161">
                  <c:v>-0.50499999999999989</c:v>
                </c:pt>
                <c:pt idx="162">
                  <c:v>-0.69499999999999984</c:v>
                </c:pt>
                <c:pt idx="163">
                  <c:v>0.29500000000000004</c:v>
                </c:pt>
                <c:pt idx="164">
                  <c:v>-0.23499999999999988</c:v>
                </c:pt>
                <c:pt idx="165">
                  <c:v>9.2000000000000082E-2</c:v>
                </c:pt>
                <c:pt idx="166">
                  <c:v>-0.46999999999999975</c:v>
                </c:pt>
                <c:pt idx="167">
                  <c:v>0.7330000000000001</c:v>
                </c:pt>
                <c:pt idx="168">
                  <c:v>0.45799999999999996</c:v>
                </c:pt>
                <c:pt idx="169">
                  <c:v>-0.18999999999999995</c:v>
                </c:pt>
                <c:pt idx="170">
                  <c:v>-0.37999999999999989</c:v>
                </c:pt>
                <c:pt idx="171">
                  <c:v>0.10199999999999987</c:v>
                </c:pt>
                <c:pt idx="172">
                  <c:v>-0.37999999999999989</c:v>
                </c:pt>
                <c:pt idx="173">
                  <c:v>-1.0899999999999999</c:v>
                </c:pt>
                <c:pt idx="174">
                  <c:v>0.37433333333333335</c:v>
                </c:pt>
                <c:pt idx="175">
                  <c:v>-0.32499999999999973</c:v>
                </c:pt>
                <c:pt idx="176">
                  <c:v>0.43500000000000028</c:v>
                </c:pt>
                <c:pt idx="177">
                  <c:v>-6.999999999999984E-2</c:v>
                </c:pt>
                <c:pt idx="178">
                  <c:v>0.30000000000000027</c:v>
                </c:pt>
                <c:pt idx="179">
                  <c:v>-0.22999999999999998</c:v>
                </c:pt>
                <c:pt idx="180">
                  <c:v>-6.0000000000000053E-2</c:v>
                </c:pt>
                <c:pt idx="181">
                  <c:v>-0.26666666666666677</c:v>
                </c:pt>
                <c:pt idx="182">
                  <c:v>-5.6666666666666789E-2</c:v>
                </c:pt>
                <c:pt idx="183">
                  <c:v>2.4999999999999911E-2</c:v>
                </c:pt>
                <c:pt idx="184">
                  <c:v>8.9999999999999858E-2</c:v>
                </c:pt>
                <c:pt idx="185">
                  <c:v>0.14000000000000012</c:v>
                </c:pt>
                <c:pt idx="186">
                  <c:v>-0.10499999999999998</c:v>
                </c:pt>
                <c:pt idx="187">
                  <c:v>0.17500000000000027</c:v>
                </c:pt>
                <c:pt idx="188">
                  <c:v>8.9999999999999858E-2</c:v>
                </c:pt>
                <c:pt idx="189">
                  <c:v>0.20500000000000007</c:v>
                </c:pt>
                <c:pt idx="190">
                  <c:v>2.4999999999999911E-2</c:v>
                </c:pt>
                <c:pt idx="191">
                  <c:v>9.4999999999999751E-2</c:v>
                </c:pt>
                <c:pt idx="192">
                  <c:v>-5.0000000000000488E-2</c:v>
                </c:pt>
                <c:pt idx="193">
                  <c:v>-3.0000000000000249E-2</c:v>
                </c:pt>
                <c:pt idx="194">
                  <c:v>-0.39750000000000019</c:v>
                </c:pt>
                <c:pt idx="195">
                  <c:v>-3.3333333333314857E-4</c:v>
                </c:pt>
                <c:pt idx="196">
                  <c:v>9.3499999999999694E-2</c:v>
                </c:pt>
                <c:pt idx="197">
                  <c:v>0</c:v>
                </c:pt>
                <c:pt idx="198">
                  <c:v>0.22999999999999998</c:v>
                </c:pt>
                <c:pt idx="199">
                  <c:v>0.19999999999999996</c:v>
                </c:pt>
                <c:pt idx="200">
                  <c:v>8.0000000000000071E-2</c:v>
                </c:pt>
                <c:pt idx="201">
                  <c:v>0.16999999999999993</c:v>
                </c:pt>
                <c:pt idx="202">
                  <c:v>0.16999999999999993</c:v>
                </c:pt>
                <c:pt idx="203">
                  <c:v>0.16999999999999993</c:v>
                </c:pt>
                <c:pt idx="204">
                  <c:v>-0.16333333333333325</c:v>
                </c:pt>
                <c:pt idx="205">
                  <c:v>-2.0000000000000018E-2</c:v>
                </c:pt>
                <c:pt idx="206">
                  <c:v>0.37000000000000011</c:v>
                </c:pt>
                <c:pt idx="207">
                  <c:v>-2.0000000000000018E-2</c:v>
                </c:pt>
                <c:pt idx="208">
                  <c:v>-0.5950000000000002</c:v>
                </c:pt>
                <c:pt idx="209">
                  <c:v>-9.5000000000000195E-2</c:v>
                </c:pt>
                <c:pt idx="210">
                  <c:v>0.14499999999999957</c:v>
                </c:pt>
                <c:pt idx="211">
                  <c:v>-0.63999999999999968</c:v>
                </c:pt>
                <c:pt idx="212">
                  <c:v>0.30000000000000027</c:v>
                </c:pt>
                <c:pt idx="213">
                  <c:v>0.20000000000000018</c:v>
                </c:pt>
                <c:pt idx="214">
                  <c:v>0.43499999999999961</c:v>
                </c:pt>
                <c:pt idx="215">
                  <c:v>0.35000000000000009</c:v>
                </c:pt>
                <c:pt idx="216">
                  <c:v>0.2849999999999997</c:v>
                </c:pt>
                <c:pt idx="217">
                  <c:v>0.21999999999999975</c:v>
                </c:pt>
                <c:pt idx="218">
                  <c:v>0.4075000000000002</c:v>
                </c:pt>
                <c:pt idx="219">
                  <c:v>0.33000000000000052</c:v>
                </c:pt>
                <c:pt idx="220">
                  <c:v>0.37500000000000022</c:v>
                </c:pt>
                <c:pt idx="221">
                  <c:v>-0.17499999999999982</c:v>
                </c:pt>
                <c:pt idx="222">
                  <c:v>0.42000000000000037</c:v>
                </c:pt>
                <c:pt idx="223">
                  <c:v>-6.6666666666668206E-3</c:v>
                </c:pt>
                <c:pt idx="224">
                  <c:v>0.4700000000000002</c:v>
                </c:pt>
                <c:pt idx="225">
                  <c:v>-0.16500000000000004</c:v>
                </c:pt>
                <c:pt idx="226">
                  <c:v>-0.41000000000000014</c:v>
                </c:pt>
                <c:pt idx="227">
                  <c:v>0.16000000000000014</c:v>
                </c:pt>
                <c:pt idx="228">
                  <c:v>-7.9999999999999627E-2</c:v>
                </c:pt>
                <c:pt idx="229">
                  <c:v>-9.9999999999999645E-2</c:v>
                </c:pt>
                <c:pt idx="230">
                  <c:v>0.13000000000000034</c:v>
                </c:pt>
                <c:pt idx="231">
                  <c:v>0.5900000000000003</c:v>
                </c:pt>
                <c:pt idx="232">
                  <c:v>-0.33999999999999986</c:v>
                </c:pt>
                <c:pt idx="233">
                  <c:v>4.000000000000048E-2</c:v>
                </c:pt>
                <c:pt idx="234">
                  <c:v>-0.20999999999999996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9B-4AB5-911C-EDA695648E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64973224"/>
        <c:axId val="664971256"/>
      </c:barChart>
      <c:catAx>
        <c:axId val="6649732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64971256"/>
        <c:crosses val="autoZero"/>
        <c:auto val="1"/>
        <c:lblAlgn val="ctr"/>
        <c:lblOffset val="100"/>
        <c:noMultiLvlLbl val="0"/>
      </c:catAx>
      <c:valAx>
        <c:axId val="664971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6497322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f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f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434340</xdr:colOff>
      <xdr:row>3</xdr:row>
      <xdr:rowOff>86360</xdr:rowOff>
    </xdr:from>
    <xdr:to>
      <xdr:col>13</xdr:col>
      <xdr:colOff>78740</xdr:colOff>
      <xdr:row>34</xdr:row>
      <xdr:rowOff>132080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22860</xdr:colOff>
      <xdr:row>3</xdr:row>
      <xdr:rowOff>86360</xdr:rowOff>
    </xdr:from>
    <xdr:to>
      <xdr:col>22</xdr:col>
      <xdr:colOff>530860</xdr:colOff>
      <xdr:row>27</xdr:row>
      <xdr:rowOff>142240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492760</xdr:colOff>
      <xdr:row>8</xdr:row>
      <xdr:rowOff>124460</xdr:rowOff>
    </xdr:from>
    <xdr:to>
      <xdr:col>21</xdr:col>
      <xdr:colOff>340360</xdr:colOff>
      <xdr:row>39</xdr:row>
      <xdr:rowOff>170180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295276</xdr:colOff>
      <xdr:row>3</xdr:row>
      <xdr:rowOff>104776</xdr:rowOff>
    </xdr:from>
    <xdr:to>
      <xdr:col>8</xdr:col>
      <xdr:colOff>432436</xdr:colOff>
      <xdr:row>7</xdr:row>
      <xdr:rowOff>120016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5789296" y="653416"/>
          <a:ext cx="746760" cy="746760"/>
          <a:chOff x="10370821" y="739141"/>
          <a:chExt cx="746760" cy="746760"/>
        </a:xfrm>
      </xdr:grpSpPr>
      <xdr:pic macro="[0]!InvoerNaarBron6"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370821" y="739141"/>
            <a:ext cx="746760" cy="746760"/>
          </a:xfrm>
          <a:prstGeom prst="rect">
            <a:avLst/>
          </a:prstGeom>
        </xdr:spPr>
      </xdr:pic>
      <xdr:sp macro="[0]!InvoerNaarBron6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 txBox="1"/>
        </xdr:nvSpPr>
        <xdr:spPr>
          <a:xfrm>
            <a:off x="10378440" y="861060"/>
            <a:ext cx="696153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nl-NL" sz="1100"/>
              <a:t>Invoeren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607696</xdr:colOff>
      <xdr:row>3</xdr:row>
      <xdr:rowOff>66676</xdr:rowOff>
    </xdr:from>
    <xdr:to>
      <xdr:col>9</xdr:col>
      <xdr:colOff>744856</xdr:colOff>
      <xdr:row>7</xdr:row>
      <xdr:rowOff>81916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7023736" y="615316"/>
          <a:ext cx="746760" cy="746760"/>
          <a:chOff x="10370821" y="739141"/>
          <a:chExt cx="746760" cy="746760"/>
        </a:xfrm>
      </xdr:grpSpPr>
      <xdr:pic macro="[0]!UpdateRecord"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370821" y="739141"/>
            <a:ext cx="746760" cy="746760"/>
          </a:xfrm>
          <a:prstGeom prst="rect">
            <a:avLst/>
          </a:prstGeom>
        </xdr:spPr>
      </xdr:pic>
      <xdr:sp macro="[0]!UpdateRecord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 txBox="1"/>
        </xdr:nvSpPr>
        <xdr:spPr>
          <a:xfrm>
            <a:off x="10454640" y="861060"/>
            <a:ext cx="60850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nl-NL" sz="1100"/>
              <a:t>Update</a:t>
            </a:r>
          </a:p>
        </xdr:txBody>
      </xdr:sp>
    </xdr:grpSp>
    <xdr:clientData/>
  </xdr:twoCellAnchor>
  <xdr:twoCellAnchor>
    <xdr:from>
      <xdr:col>10</xdr:col>
      <xdr:colOff>144780</xdr:colOff>
      <xdr:row>8</xdr:row>
      <xdr:rowOff>129540</xdr:rowOff>
    </xdr:from>
    <xdr:to>
      <xdr:col>11</xdr:col>
      <xdr:colOff>129540</xdr:colOff>
      <xdr:row>10</xdr:row>
      <xdr:rowOff>76200</xdr:rowOff>
    </xdr:to>
    <xdr:sp macro="[0]!ForwardRev" textlink="">
      <xdr:nvSpPr>
        <xdr:cNvPr id="5" name="Pentagon 4"/>
        <xdr:cNvSpPr/>
      </xdr:nvSpPr>
      <xdr:spPr>
        <a:xfrm>
          <a:off x="7940040" y="1592580"/>
          <a:ext cx="594360" cy="320040"/>
        </a:xfrm>
        <a:prstGeom prst="homePlate">
          <a:avLst/>
        </a:prstGeom>
        <a:solidFill>
          <a:srgbClr val="92D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7</xdr:col>
      <xdr:colOff>487680</xdr:colOff>
      <xdr:row>8</xdr:row>
      <xdr:rowOff>137160</xdr:rowOff>
    </xdr:from>
    <xdr:to>
      <xdr:col>8</xdr:col>
      <xdr:colOff>472440</xdr:colOff>
      <xdr:row>10</xdr:row>
      <xdr:rowOff>83820</xdr:rowOff>
    </xdr:to>
    <xdr:sp macro="[0]!BackwardRev" textlink="">
      <xdr:nvSpPr>
        <xdr:cNvPr id="6" name="Pentagon 5"/>
        <xdr:cNvSpPr/>
      </xdr:nvSpPr>
      <xdr:spPr>
        <a:xfrm rot="10800000">
          <a:off x="6294120" y="1600200"/>
          <a:ext cx="594360" cy="320040"/>
        </a:xfrm>
        <a:prstGeom prst="homePlate">
          <a:avLst/>
        </a:prstGeom>
        <a:solidFill>
          <a:srgbClr val="92D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tephan.van.beeck" refreshedDate="43642.988245138891" createdVersion="6" refreshedVersion="6" minRefreshableVersion="3" recordCount="517">
  <cacheSource type="worksheet">
    <worksheetSource ref="A1:M518" sheet="Add20190621-Test-Set"/>
  </cacheSource>
  <cacheFields count="13">
    <cacheField name="index" numFmtId="0">
      <sharedItems containsSemiMixedTypes="0" containsString="0" containsNumber="1" containsInteger="1" minValue="1" maxValue="7"/>
    </cacheField>
    <cacheField name="Date" numFmtId="22">
      <sharedItems containsSemiMixedTypes="0" containsNonDate="0" containsDate="1" containsString="0" minDate="2019-04-29T14:00:00" maxDate="2019-06-13T17:00:00" count="9">
        <d v="2019-06-13T17:00:00"/>
        <d v="2019-06-08T09:25:00"/>
        <d v="2019-06-07T13:00:00"/>
        <d v="2019-05-31T13:00:00"/>
        <d v="2019-05-30T16:00:00"/>
        <d v="2019-05-25T12:00:00"/>
        <d v="2019-05-24T12:00:00"/>
        <d v="2019-05-03T12:00:00"/>
        <d v="2019-04-29T14:00:00"/>
      </sharedItems>
    </cacheField>
    <cacheField name="Baan" numFmtId="0">
      <sharedItems count="6">
        <s v="EG-white"/>
        <s v="nngc"/>
        <s v="Rosendaelsche Wit"/>
        <s v="Woold Wit"/>
        <s v="Gualdemina Sud White"/>
        <s v="El Higueral Golf White"/>
      </sharedItems>
    </cacheField>
    <cacheField name="Hole" numFmtId="0">
      <sharedItems containsSemiMixedTypes="0" containsString="0" containsNumber="1" containsInteger="1" minValue="1" maxValue="18"/>
    </cacheField>
    <cacheField name="Sum of Strokes" numFmtId="0">
      <sharedItems containsSemiMixedTypes="0" containsString="0" containsNumber="1" containsInteger="1" minValue="2" maxValue="7"/>
    </cacheField>
    <cacheField name="Difference" numFmtId="0">
      <sharedItems containsSemiMixedTypes="0" containsString="0" containsNumber="1" minValue="-2.7750000000000004" maxValue="1.153"/>
    </cacheField>
    <cacheField name="Total SG" numFmtId="0">
      <sharedItems containsNonDate="0" containsString="0" containsBlank="1"/>
    </cacheField>
    <cacheField name="Yards/Ft " numFmtId="0">
      <sharedItems containsSemiMixedTypes="0" containsString="0" containsNumber="1" minValue="0.33333333333333331" maxValue="612.42344799999989"/>
    </cacheField>
    <cacheField name="1Strokes" numFmtId="0">
      <sharedItems count="6">
        <s v="Green"/>
        <s v="Fairway"/>
        <s v="Tee"/>
        <s v="Rough"/>
        <s v="Bunker"/>
        <s v="Recovery"/>
      </sharedItems>
    </cacheField>
    <cacheField name="1Calc-PGA" numFmtId="0">
      <sharedItems containsSemiMixedTypes="0" containsString="0" containsNumber="1" minValue="-1.0899999999999999" maxValue="1.0299999999999998"/>
    </cacheField>
    <cacheField name="Disp" numFmtId="0">
      <sharedItems containsMixedTypes="1" containsNumber="1" containsInteger="1" minValue="0" maxValue="36"/>
    </cacheField>
    <cacheField name="Rounded" numFmtId="0">
      <sharedItems containsSemiMixedTypes="0" containsString="0" containsNumber="1" containsInteger="1" minValue="0" maxValue="612" count="178">
        <n v="2"/>
        <n v="124"/>
        <n v="408"/>
        <n v="0"/>
        <n v="8"/>
        <n v="90"/>
        <n v="252"/>
        <n v="550"/>
        <n v="7"/>
        <n v="186"/>
        <n v="1"/>
        <n v="15"/>
        <n v="199"/>
        <n v="507"/>
        <n v="135"/>
        <n v="387"/>
        <n v="22"/>
        <n v="188"/>
        <n v="399"/>
        <n v="13"/>
        <n v="153"/>
        <n v="427"/>
        <n v="12"/>
        <n v="189"/>
        <n v="16"/>
        <n v="155"/>
        <n v="478"/>
        <n v="26"/>
        <n v="133"/>
        <n v="267"/>
        <n v="530"/>
        <n v="10"/>
        <n v="152"/>
        <n v="168"/>
        <n v="460"/>
        <n v="377"/>
        <n v="4"/>
        <n v="335"/>
        <n v="5"/>
        <n v="42"/>
        <n v="284"/>
        <n v="577"/>
        <n v="226"/>
        <n v="33"/>
        <n v="301"/>
        <n v="3"/>
        <n v="121"/>
        <n v="420"/>
        <n v="166"/>
        <n v="359"/>
        <n v="9"/>
        <n v="24"/>
        <n v="129"/>
        <n v="344"/>
        <n v="63"/>
        <n v="398"/>
        <n v="173"/>
        <n v="447"/>
        <n v="60"/>
        <n v="328"/>
        <n v="541"/>
        <n v="195"/>
        <n v="14"/>
        <n v="132"/>
        <n v="351"/>
        <n v="612"/>
        <n v="21"/>
        <n v="106"/>
        <n v="322"/>
        <n v="136"/>
        <n v="511"/>
        <n v="400"/>
        <n v="82"/>
        <n v="309"/>
        <n v="329"/>
        <n v="38"/>
        <n v="277"/>
        <n v="215"/>
        <n v="514"/>
        <n v="167"/>
        <n v="394"/>
        <n v="164"/>
        <n v="137"/>
        <n v="190"/>
        <n v="37"/>
        <n v="183"/>
        <n v="27"/>
        <n v="157"/>
        <n v="568"/>
        <n v="87"/>
        <n v="170"/>
        <n v="432"/>
        <n v="20"/>
        <n v="222"/>
        <n v="156"/>
        <n v="446"/>
        <n v="291"/>
        <n v="551"/>
        <n v="30"/>
        <n v="140"/>
        <n v="410"/>
        <n v="96"/>
        <n v="424"/>
        <n v="126"/>
        <n v="92"/>
        <n v="241"/>
        <n v="11"/>
        <n v="235"/>
        <n v="148"/>
        <n v="202"/>
        <n v="44"/>
        <n v="109"/>
        <n v="19"/>
        <n v="119"/>
        <n v="276"/>
        <n v="221"/>
        <n v="40"/>
        <n v="258"/>
        <n v="566"/>
        <n v="175"/>
        <n v="35"/>
        <n v="323"/>
        <n v="118"/>
        <n v="171"/>
        <n v="182"/>
        <n v="402"/>
        <n v="77"/>
        <n v="575"/>
        <n v="114"/>
        <n v="352"/>
        <n v="17"/>
        <n v="439"/>
        <n v="55"/>
        <n v="295"/>
        <n v="542"/>
        <n v="125"/>
        <n v="131"/>
        <n v="383"/>
        <n v="197"/>
        <n v="421"/>
        <n v="206"/>
        <n v="554"/>
        <n v="45"/>
        <n v="230"/>
        <n v="441"/>
        <n v="107"/>
        <n v="363"/>
        <n v="34"/>
        <n v="234"/>
        <n v="145"/>
        <n v="101"/>
        <n v="280"/>
        <n v="227"/>
        <n v="74"/>
        <n v="475"/>
        <n v="68"/>
        <n v="78"/>
        <n v="332"/>
        <n v="120"/>
        <n v="404"/>
        <n v="208"/>
        <n v="434"/>
        <n v="85"/>
        <n v="487"/>
        <n v="75"/>
        <n v="317"/>
        <n v="142"/>
        <n v="455"/>
        <n v="378"/>
        <n v="411"/>
        <n v="93"/>
        <n v="354"/>
        <n v="382"/>
        <n v="308"/>
        <n v="501"/>
        <n v="413"/>
        <n v="535"/>
        <n v="412"/>
      </sharedItems>
    </cacheField>
    <cacheField name="Feet" numFmtId="0">
      <sharedItems containsSemiMixedTypes="0" containsString="0" containsNumber="1" containsInteger="1" minValue="1" maxValue="18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stephan.van.beeck" refreshedDate="43642.988246759262" createdVersion="6" refreshedVersion="6" minRefreshableVersion="3" recordCount="517">
  <cacheSource type="worksheet">
    <worksheetSource ref="A1:M518" sheet="Add20190621-Test-Set"/>
  </cacheSource>
  <cacheFields count="13">
    <cacheField name="index" numFmtId="0">
      <sharedItems containsSemiMixedTypes="0" containsString="0" containsNumber="1" containsInteger="1" minValue="1" maxValue="7"/>
    </cacheField>
    <cacheField name="Date" numFmtId="22">
      <sharedItems containsSemiMixedTypes="0" containsNonDate="0" containsDate="1" containsString="0" minDate="2019-04-29T14:00:00" maxDate="2019-06-13T17:00:00" count="9">
        <d v="2019-06-13T17:00:00"/>
        <d v="2019-06-08T09:25:00"/>
        <d v="2019-06-07T13:00:00"/>
        <d v="2019-05-31T13:00:00"/>
        <d v="2019-05-30T16:00:00"/>
        <d v="2019-05-25T12:00:00"/>
        <d v="2019-05-24T12:00:00"/>
        <d v="2019-05-03T12:00:00"/>
        <d v="2019-04-29T14:00:00"/>
      </sharedItems>
    </cacheField>
    <cacheField name="Baan" numFmtId="0">
      <sharedItems count="6">
        <s v="EG-white"/>
        <s v="nngc"/>
        <s v="Rosendaelsche Wit"/>
        <s v="Woold Wit"/>
        <s v="Gualdemina Sud White"/>
        <s v="El Higueral Golf White"/>
      </sharedItems>
    </cacheField>
    <cacheField name="Hole" numFmtId="0">
      <sharedItems containsSemiMixedTypes="0" containsString="0" containsNumber="1" containsInteger="1" minValue="1" maxValue="18" count="18"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</sharedItems>
    </cacheField>
    <cacheField name="Sum of Strokes" numFmtId="0">
      <sharedItems containsSemiMixedTypes="0" containsString="0" containsNumber="1" containsInteger="1" minValue="2" maxValue="7"/>
    </cacheField>
    <cacheField name="Difference" numFmtId="0">
      <sharedItems containsSemiMixedTypes="0" containsString="0" containsNumber="1" minValue="-2.7750000000000004" maxValue="1.153"/>
    </cacheField>
    <cacheField name="Total SG" numFmtId="0">
      <sharedItems containsNonDate="0" containsString="0" containsBlank="1"/>
    </cacheField>
    <cacheField name="Yards/Ft " numFmtId="0">
      <sharedItems containsSemiMixedTypes="0" containsString="0" containsNumber="1" minValue="0.33333333333333331" maxValue="612.42344799999989"/>
    </cacheField>
    <cacheField name="1Strokes" numFmtId="0">
      <sharedItems/>
    </cacheField>
    <cacheField name="1Calc-PGA" numFmtId="0">
      <sharedItems containsSemiMixedTypes="0" containsString="0" containsNumber="1" minValue="-1.0899999999999999" maxValue="1.0299999999999998"/>
    </cacheField>
    <cacheField name="Disp" numFmtId="0">
      <sharedItems containsMixedTypes="1" containsNumber="1" containsInteger="1" minValue="0" maxValue="36"/>
    </cacheField>
    <cacheField name="Rounded" numFmtId="0">
      <sharedItems containsSemiMixedTypes="0" containsString="0" containsNumber="1" containsInteger="1" minValue="0" maxValue="612"/>
    </cacheField>
    <cacheField name="Feet" numFmtId="0">
      <sharedItems containsSemiMixedTypes="0" containsString="0" containsNumber="1" containsInteger="1" minValue="1" maxValue="18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stephan.van.beeck" refreshedDate="43642.988247569447" createdVersion="6" refreshedVersion="6" minRefreshableVersion="3" recordCount="517">
  <cacheSource type="worksheet">
    <worksheetSource ref="A1:M518" sheet="Add20190621-Test-Set"/>
  </cacheSource>
  <cacheFields count="13">
    <cacheField name="index" numFmtId="0">
      <sharedItems containsSemiMixedTypes="0" containsString="0" containsNumber="1" containsInteger="1" minValue="1" maxValue="7"/>
    </cacheField>
    <cacheField name="Date" numFmtId="22">
      <sharedItems containsSemiMixedTypes="0" containsNonDate="0" containsDate="1" containsString="0" minDate="2019-04-29T14:00:00" maxDate="2019-06-13T17:00:00"/>
    </cacheField>
    <cacheField name="Baan" numFmtId="0">
      <sharedItems/>
    </cacheField>
    <cacheField name="Hole" numFmtId="0">
      <sharedItems containsSemiMixedTypes="0" containsString="0" containsNumber="1" containsInteger="1" minValue="1" maxValue="18"/>
    </cacheField>
    <cacheField name="Sum of Strokes" numFmtId="0">
      <sharedItems containsSemiMixedTypes="0" containsString="0" containsNumber="1" containsInteger="1" minValue="2" maxValue="7"/>
    </cacheField>
    <cacheField name="Difference" numFmtId="0">
      <sharedItems containsSemiMixedTypes="0" containsString="0" containsNumber="1" minValue="-2.7750000000000004" maxValue="1.153"/>
    </cacheField>
    <cacheField name="Total SG" numFmtId="0">
      <sharedItems containsNonDate="0" containsString="0" containsBlank="1"/>
    </cacheField>
    <cacheField name="Yards/Ft " numFmtId="0">
      <sharedItems containsSemiMixedTypes="0" containsString="0" containsNumber="1" minValue="0.33333333333333331" maxValue="612.42344799999989"/>
    </cacheField>
    <cacheField name="1Strokes" numFmtId="0">
      <sharedItems count="6">
        <s v="Green"/>
        <s v="Fairway"/>
        <s v="Tee"/>
        <s v="Rough"/>
        <s v="Bunker"/>
        <s v="Recovery"/>
      </sharedItems>
    </cacheField>
    <cacheField name="1Calc-PGA" numFmtId="0">
      <sharedItems containsSemiMixedTypes="0" containsString="0" containsNumber="1" minValue="-1.0899999999999999" maxValue="1.0299999999999998"/>
    </cacheField>
    <cacheField name="Disp" numFmtId="0">
      <sharedItems containsMixedTypes="1" containsNumber="1" containsInteger="1" minValue="0" maxValue="36" count="32">
        <n v="0"/>
        <n v="2"/>
        <s v="Hi"/>
        <n v="7"/>
        <n v="6"/>
        <s v="Lo"/>
        <s v="Ri"/>
        <n v="14"/>
        <s v="Le"/>
        <n v="20"/>
        <n v="12"/>
        <n v="11"/>
        <n v="9"/>
        <n v="3"/>
        <n v="8"/>
        <n v="22"/>
        <n v="13"/>
        <n v="4"/>
        <n v="34"/>
        <n v="18"/>
        <n v="24"/>
        <n v="27"/>
        <n v="5"/>
        <n v="10"/>
        <n v="19"/>
        <n v="17"/>
        <n v="36"/>
        <n v="25"/>
        <n v="16"/>
        <n v="1"/>
        <n v="31"/>
        <n v="30"/>
      </sharedItems>
    </cacheField>
    <cacheField name="Rounded" numFmtId="0">
      <sharedItems containsSemiMixedTypes="0" containsString="0" containsNumber="1" containsInteger="1" minValue="0" maxValue="612"/>
    </cacheField>
    <cacheField name="Feet" numFmtId="0">
      <sharedItems containsSemiMixedTypes="0" containsString="0" containsNumber="1" containsInteger="1" minValue="1" maxValue="18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17">
  <r>
    <n v="3"/>
    <x v="0"/>
    <x v="0"/>
    <n v="18"/>
    <n v="3"/>
    <n v="1.08"/>
    <m/>
    <n v="2"/>
    <x v="0"/>
    <n v="0.34000000000000008"/>
    <n v="0"/>
    <x v="0"/>
    <n v="6"/>
  </r>
  <r>
    <n v="2"/>
    <x v="0"/>
    <x v="0"/>
    <n v="18"/>
    <n v="3"/>
    <n v="1.08"/>
    <m/>
    <n v="123.57830289999998"/>
    <x v="1"/>
    <n v="0.51"/>
    <n v="2"/>
    <x v="1"/>
    <n v="371"/>
  </r>
  <r>
    <n v="1"/>
    <x v="0"/>
    <x v="0"/>
    <n v="18"/>
    <n v="3"/>
    <n v="1.08"/>
    <m/>
    <n v="407.91776089999996"/>
    <x v="2"/>
    <n v="0.22999999999999998"/>
    <n v="0"/>
    <x v="2"/>
    <n v="1224"/>
  </r>
  <r>
    <n v="5"/>
    <x v="0"/>
    <x v="0"/>
    <n v="17"/>
    <n v="5"/>
    <n v="-0.17999999999999972"/>
    <m/>
    <n v="0.33333333333333331"/>
    <x v="0"/>
    <n v="1.0000000000000009E-2"/>
    <n v="0"/>
    <x v="3"/>
    <n v="1"/>
  </r>
  <r>
    <n v="4"/>
    <x v="0"/>
    <x v="0"/>
    <n v="17"/>
    <n v="5"/>
    <n v="-0.17999999999999972"/>
    <m/>
    <n v="7.6552930999999997"/>
    <x v="0"/>
    <n v="-0.1160000000000001"/>
    <s v="Hi"/>
    <x v="4"/>
    <n v="23"/>
  </r>
  <r>
    <n v="3"/>
    <x v="0"/>
    <x v="0"/>
    <n v="17"/>
    <n v="5"/>
    <n v="-0.17999999999999972"/>
    <m/>
    <n v="89.676290599999987"/>
    <x v="3"/>
    <n v="6.6000000000000059E-2"/>
    <n v="7"/>
    <x v="5"/>
    <n v="269"/>
  </r>
  <r>
    <n v="2"/>
    <x v="0"/>
    <x v="0"/>
    <n v="17"/>
    <n v="5"/>
    <n v="-0.17999999999999972"/>
    <m/>
    <n v="251.53105899999997"/>
    <x v="3"/>
    <n v="-0.21999999999999975"/>
    <n v="0"/>
    <x v="6"/>
    <n v="755"/>
  </r>
  <r>
    <n v="1"/>
    <x v="0"/>
    <x v="0"/>
    <n v="17"/>
    <n v="5"/>
    <n v="-0.17999999999999972"/>
    <m/>
    <n v="550.08748989999992"/>
    <x v="2"/>
    <n v="8.0000000000000071E-2"/>
    <n v="6"/>
    <x v="7"/>
    <n v="1650"/>
  </r>
  <r>
    <n v="3"/>
    <x v="0"/>
    <x v="0"/>
    <n v="16"/>
    <n v="3"/>
    <n v="0.12000000000000011"/>
    <m/>
    <n v="0.33333333333333331"/>
    <x v="0"/>
    <n v="1.0000000000000009E-2"/>
    <n v="0"/>
    <x v="3"/>
    <n v="1"/>
  </r>
  <r>
    <n v="2"/>
    <x v="0"/>
    <x v="0"/>
    <n v="16"/>
    <n v="3"/>
    <n v="0.12000000000000011"/>
    <m/>
    <n v="6.5616797999999994"/>
    <x v="0"/>
    <n v="-0.15799999999999992"/>
    <s v="Lo"/>
    <x v="8"/>
    <n v="20"/>
  </r>
  <r>
    <n v="1"/>
    <x v="0"/>
    <x v="0"/>
    <n v="16"/>
    <n v="3"/>
    <n v="0.12000000000000011"/>
    <m/>
    <n v="185.91426099999998"/>
    <x v="2"/>
    <n v="0.26800000000000002"/>
    <n v="6"/>
    <x v="9"/>
    <n v="558"/>
  </r>
  <r>
    <n v="5"/>
    <x v="0"/>
    <x v="0"/>
    <n v="15"/>
    <n v="5"/>
    <n v="-0.30499999999999972"/>
    <m/>
    <n v="0.66666666666666663"/>
    <x v="0"/>
    <n v="1.0000000000000009E-2"/>
    <n v="0"/>
    <x v="10"/>
    <n v="2"/>
  </r>
  <r>
    <n v="4"/>
    <x v="0"/>
    <x v="0"/>
    <n v="15"/>
    <n v="5"/>
    <n v="-0.30499999999999972"/>
    <m/>
    <n v="6.5616797999999994"/>
    <x v="0"/>
    <n v="-0.15799999999999992"/>
    <s v="Ri"/>
    <x v="8"/>
    <n v="20"/>
  </r>
  <r>
    <n v="3"/>
    <x v="0"/>
    <x v="0"/>
    <n v="15"/>
    <n v="5"/>
    <n v="-0.30499999999999972"/>
    <m/>
    <n v="15.310586199999999"/>
    <x v="4"/>
    <n v="-0.37200000000000011"/>
    <n v="0"/>
    <x v="11"/>
    <n v="46"/>
  </r>
  <r>
    <n v="2"/>
    <x v="0"/>
    <x v="0"/>
    <n v="15"/>
    <n v="5"/>
    <n v="-0.30499999999999972"/>
    <m/>
    <n v="199.03762059999997"/>
    <x v="1"/>
    <n v="-0.29000000000000004"/>
    <n v="14"/>
    <x v="12"/>
    <n v="597"/>
  </r>
  <r>
    <n v="1"/>
    <x v="0"/>
    <x v="0"/>
    <n v="15"/>
    <n v="5"/>
    <n v="-0.30499999999999972"/>
    <m/>
    <n v="507.43657119999995"/>
    <x v="2"/>
    <n v="0.50500000000000034"/>
    <n v="0"/>
    <x v="13"/>
    <n v="1522"/>
  </r>
  <r>
    <n v="4"/>
    <x v="0"/>
    <x v="0"/>
    <n v="14"/>
    <n v="4"/>
    <n v="1.9999999999999574E-2"/>
    <m/>
    <n v="0.66666666666666663"/>
    <x v="0"/>
    <n v="1.0000000000000009E-2"/>
    <n v="0"/>
    <x v="10"/>
    <n v="2"/>
  </r>
  <r>
    <n v="3"/>
    <x v="0"/>
    <x v="0"/>
    <n v="14"/>
    <n v="4"/>
    <n v="1.9999999999999574E-2"/>
    <m/>
    <n v="7.6552930999999997"/>
    <x v="0"/>
    <n v="-0.1160000000000001"/>
    <s v="Le"/>
    <x v="4"/>
    <n v="23"/>
  </r>
  <r>
    <n v="2"/>
    <x v="0"/>
    <x v="0"/>
    <n v="14"/>
    <n v="4"/>
    <n v="1.9999999999999574E-2"/>
    <m/>
    <n v="134.5144359"/>
    <x v="1"/>
    <n v="1.6000000000000236E-2"/>
    <n v="0"/>
    <x v="14"/>
    <n v="404"/>
  </r>
  <r>
    <n v="1"/>
    <x v="0"/>
    <x v="0"/>
    <n v="14"/>
    <n v="4"/>
    <n v="1.9999999999999574E-2"/>
    <m/>
    <n v="387.13910819999995"/>
    <x v="2"/>
    <n v="0.10999999999999943"/>
    <n v="0"/>
    <x v="15"/>
    <n v="1161"/>
  </r>
  <r>
    <n v="6"/>
    <x v="0"/>
    <x v="0"/>
    <n v="13"/>
    <n v="6"/>
    <n v="-1.9169999999999998"/>
    <m/>
    <n v="0.33333333333333331"/>
    <x v="0"/>
    <n v="1.0000000000000009E-2"/>
    <n v="0"/>
    <x v="3"/>
    <n v="1"/>
  </r>
  <r>
    <n v="5"/>
    <x v="0"/>
    <x v="0"/>
    <n v="13"/>
    <n v="6"/>
    <n v="-1.9169999999999998"/>
    <m/>
    <n v="0.66666666666666663"/>
    <x v="0"/>
    <n v="-1"/>
    <s v="Le"/>
    <x v="10"/>
    <n v="2"/>
  </r>
  <r>
    <n v="4"/>
    <x v="0"/>
    <x v="0"/>
    <n v="13"/>
    <n v="6"/>
    <n v="-1.9169999999999998"/>
    <m/>
    <n v="1.3333333333333333"/>
    <x v="0"/>
    <n v="-0.88000000000000012"/>
    <n v="0"/>
    <x v="10"/>
    <n v="4"/>
  </r>
  <r>
    <n v="3"/>
    <x v="0"/>
    <x v="0"/>
    <n v="13"/>
    <n v="6"/>
    <n v="-1.9169999999999998"/>
    <m/>
    <n v="21.872265999999996"/>
    <x v="4"/>
    <n v="0.39999999999999991"/>
    <n v="0"/>
    <x v="16"/>
    <n v="66"/>
  </r>
  <r>
    <n v="2"/>
    <x v="0"/>
    <x v="0"/>
    <n v="13"/>
    <n v="6"/>
    <n v="-1.9169999999999998"/>
    <m/>
    <n v="188.10148759999998"/>
    <x v="1"/>
    <n v="-0.33999999999999986"/>
    <n v="20"/>
    <x v="17"/>
    <n v="564"/>
  </r>
  <r>
    <n v="1"/>
    <x v="0"/>
    <x v="0"/>
    <n v="13"/>
    <n v="6"/>
    <n v="-1.9169999999999998"/>
    <m/>
    <n v="399.16885449999995"/>
    <x v="2"/>
    <n v="-0.10699999999999976"/>
    <n v="0"/>
    <x v="18"/>
    <n v="1198"/>
  </r>
  <r>
    <n v="4"/>
    <x v="0"/>
    <x v="0"/>
    <n v="12"/>
    <n v="4"/>
    <n v="0.16999999999999993"/>
    <m/>
    <n v="1.3333333333333333"/>
    <x v="0"/>
    <n v="0.12999999999999989"/>
    <n v="0"/>
    <x v="10"/>
    <n v="4"/>
  </r>
  <r>
    <n v="3"/>
    <x v="0"/>
    <x v="0"/>
    <n v="12"/>
    <n v="4"/>
    <n v="0.16999999999999993"/>
    <m/>
    <n v="13.123359599999999"/>
    <x v="0"/>
    <n v="-7.7999999999999847E-2"/>
    <s v="Le"/>
    <x v="19"/>
    <n v="39"/>
  </r>
  <r>
    <n v="2"/>
    <x v="0"/>
    <x v="0"/>
    <n v="12"/>
    <n v="4"/>
    <n v="0.16999999999999993"/>
    <m/>
    <n v="153.10586199999997"/>
    <x v="1"/>
    <n v="-7.2000000000000064E-2"/>
    <n v="12"/>
    <x v="20"/>
    <n v="459"/>
  </r>
  <r>
    <n v="1"/>
    <x v="0"/>
    <x v="0"/>
    <n v="12"/>
    <n v="4"/>
    <n v="0.16999999999999993"/>
    <m/>
    <n v="426.50918699999994"/>
    <x v="2"/>
    <n v="0.18999999999999995"/>
    <n v="0"/>
    <x v="21"/>
    <n v="1280"/>
  </r>
  <r>
    <n v="3"/>
    <x v="0"/>
    <x v="0"/>
    <n v="11"/>
    <n v="3"/>
    <n v="0.12000000000000011"/>
    <m/>
    <n v="1.3333333333333333"/>
    <x v="0"/>
    <n v="0.12999999999999989"/>
    <n v="0"/>
    <x v="10"/>
    <n v="4"/>
  </r>
  <r>
    <n v="2"/>
    <x v="0"/>
    <x v="0"/>
    <n v="11"/>
    <n v="3"/>
    <n v="0.12000000000000011"/>
    <m/>
    <n v="12.029746299999999"/>
    <x v="0"/>
    <n v="-0.10199999999999987"/>
    <s v="Le"/>
    <x v="22"/>
    <n v="36"/>
  </r>
  <r>
    <n v="1"/>
    <x v="0"/>
    <x v="0"/>
    <n v="11"/>
    <n v="3"/>
    <n v="0.12000000000000011"/>
    <m/>
    <n v="189.19510089999997"/>
    <x v="2"/>
    <n v="9.2000000000000082E-2"/>
    <n v="11"/>
    <x v="23"/>
    <n v="568"/>
  </r>
  <r>
    <n v="5"/>
    <x v="0"/>
    <x v="0"/>
    <n v="10"/>
    <n v="5"/>
    <n v="-0.52500000000000036"/>
    <m/>
    <n v="0.33333333333333331"/>
    <x v="0"/>
    <n v="1.0000000000000009E-2"/>
    <n v="0"/>
    <x v="3"/>
    <n v="1"/>
  </r>
  <r>
    <n v="4"/>
    <x v="0"/>
    <x v="0"/>
    <n v="10"/>
    <n v="5"/>
    <n v="-0.52500000000000036"/>
    <m/>
    <n v="1.6666666666666667"/>
    <x v="0"/>
    <n v="-0.88000000000000012"/>
    <s v="Hi"/>
    <x v="0"/>
    <n v="5"/>
  </r>
  <r>
    <n v="3"/>
    <x v="0"/>
    <x v="0"/>
    <n v="10"/>
    <n v="5"/>
    <n v="-0.52500000000000036"/>
    <m/>
    <n v="15.857392849999998"/>
    <x v="3"/>
    <n v="0.3400000000000003"/>
    <n v="0"/>
    <x v="24"/>
    <n v="48"/>
  </r>
  <r>
    <n v="2"/>
    <x v="0"/>
    <x v="0"/>
    <n v="10"/>
    <n v="5"/>
    <n v="-0.52500000000000036"/>
    <m/>
    <n v="155.29308859999998"/>
    <x v="1"/>
    <n v="-0.49000000000000021"/>
    <n v="0"/>
    <x v="25"/>
    <n v="466"/>
  </r>
  <r>
    <n v="1"/>
    <x v="0"/>
    <x v="0"/>
    <n v="10"/>
    <n v="5"/>
    <n v="-0.52500000000000036"/>
    <m/>
    <n v="477.90901209999998"/>
    <x v="2"/>
    <n v="0.49499999999999966"/>
    <n v="0"/>
    <x v="26"/>
    <n v="1434"/>
  </r>
  <r>
    <n v="5"/>
    <x v="0"/>
    <x v="0"/>
    <n v="9"/>
    <n v="5"/>
    <n v="-0.20999999999999996"/>
    <m/>
    <n v="1"/>
    <x v="0"/>
    <n v="4.0000000000000036E-2"/>
    <n v="0"/>
    <x v="10"/>
    <n v="3"/>
  </r>
  <r>
    <n v="4"/>
    <x v="0"/>
    <x v="0"/>
    <n v="9"/>
    <n v="5"/>
    <n v="-0.20999999999999996"/>
    <m/>
    <n v="26.246719199999998"/>
    <x v="1"/>
    <n v="0.35999999999999988"/>
    <n v="0"/>
    <x v="27"/>
    <n v="79"/>
  </r>
  <r>
    <n v="3"/>
    <x v="0"/>
    <x v="0"/>
    <n v="9"/>
    <n v="5"/>
    <n v="-0.20999999999999996"/>
    <m/>
    <n v="133.42082259999998"/>
    <x v="3"/>
    <n v="-0.25"/>
    <n v="0"/>
    <x v="28"/>
    <n v="400"/>
  </r>
  <r>
    <n v="2"/>
    <x v="0"/>
    <x v="0"/>
    <n v="9"/>
    <n v="5"/>
    <n v="-0.20999999999999996"/>
    <m/>
    <n v="266.84164519999996"/>
    <x v="3"/>
    <n v="-0.31999999999999984"/>
    <n v="0"/>
    <x v="29"/>
    <n v="801"/>
  </r>
  <r>
    <n v="1"/>
    <x v="0"/>
    <x v="0"/>
    <n v="9"/>
    <n v="5"/>
    <n v="-0.20999999999999996"/>
    <m/>
    <n v="530.40245049999999"/>
    <x v="2"/>
    <n v="-4.0000000000000036E-2"/>
    <n v="9"/>
    <x v="30"/>
    <n v="1591"/>
  </r>
  <r>
    <n v="3"/>
    <x v="0"/>
    <x v="0"/>
    <n v="8"/>
    <n v="3"/>
    <n v="-9.9999999999997868E-3"/>
    <m/>
    <n v="1"/>
    <x v="0"/>
    <n v="4.0000000000000036E-2"/>
    <n v="0"/>
    <x v="10"/>
    <n v="3"/>
  </r>
  <r>
    <n v="2"/>
    <x v="0"/>
    <x v="0"/>
    <n v="8"/>
    <n v="3"/>
    <n v="-9.9999999999997868E-3"/>
    <m/>
    <n v="9.8425196999999987"/>
    <x v="0"/>
    <n v="-7.0000000000000062E-2"/>
    <s v="Lo"/>
    <x v="31"/>
    <n v="30"/>
  </r>
  <r>
    <n v="1"/>
    <x v="0"/>
    <x v="0"/>
    <n v="8"/>
    <n v="3"/>
    <n v="-9.9999999999997868E-3"/>
    <m/>
    <n v="152.01224869999999"/>
    <x v="2"/>
    <n v="2.000000000000024E-2"/>
    <n v="9"/>
    <x v="32"/>
    <n v="456"/>
  </r>
  <r>
    <n v="4"/>
    <x v="0"/>
    <x v="0"/>
    <n v="7"/>
    <n v="4"/>
    <n v="0.41000000000000014"/>
    <m/>
    <n v="0.33333333333333331"/>
    <x v="0"/>
    <n v="1.0000000000000009E-2"/>
    <n v="0"/>
    <x v="3"/>
    <n v="1"/>
  </r>
  <r>
    <n v="3"/>
    <x v="0"/>
    <x v="0"/>
    <n v="7"/>
    <n v="4"/>
    <n v="0.41000000000000014"/>
    <m/>
    <n v="2.1872265999999998"/>
    <x v="0"/>
    <n v="-0.66999999999999993"/>
    <s v="Lo"/>
    <x v="0"/>
    <n v="7"/>
  </r>
  <r>
    <n v="2"/>
    <x v="0"/>
    <x v="0"/>
    <n v="7"/>
    <n v="4"/>
    <n v="0.41000000000000014"/>
    <m/>
    <n v="168.41644819999999"/>
    <x v="1"/>
    <n v="0.74"/>
    <n v="2"/>
    <x v="33"/>
    <n v="505"/>
  </r>
  <r>
    <n v="1"/>
    <x v="0"/>
    <x v="0"/>
    <n v="7"/>
    <n v="4"/>
    <n v="0.41000000000000014"/>
    <m/>
    <n v="460.41119929999996"/>
    <x v="2"/>
    <n v="0.33000000000000007"/>
    <n v="0"/>
    <x v="34"/>
    <n v="1381"/>
  </r>
  <r>
    <n v="4"/>
    <x v="0"/>
    <x v="0"/>
    <n v="6"/>
    <n v="4"/>
    <n v="4.9999999999998934E-3"/>
    <m/>
    <n v="1.3333333333333333"/>
    <x v="0"/>
    <n v="0.12999999999999989"/>
    <n v="0"/>
    <x v="10"/>
    <n v="4"/>
  </r>
  <r>
    <n v="3"/>
    <x v="0"/>
    <x v="0"/>
    <n v="6"/>
    <n v="4"/>
    <n v="4.9999999999998934E-3"/>
    <m/>
    <n v="7.6552930999999997"/>
    <x v="0"/>
    <n v="-0.23599999999999999"/>
    <s v="Lo"/>
    <x v="4"/>
    <n v="23"/>
  </r>
  <r>
    <n v="2"/>
    <x v="0"/>
    <x v="0"/>
    <n v="6"/>
    <n v="4"/>
    <n v="4.9999999999998934E-3"/>
    <m/>
    <n v="152.01224869999999"/>
    <x v="1"/>
    <n v="8.6000000000000076E-2"/>
    <n v="7"/>
    <x v="32"/>
    <n v="456"/>
  </r>
  <r>
    <n v="1"/>
    <x v="0"/>
    <x v="0"/>
    <n v="6"/>
    <n v="4"/>
    <n v="4.9999999999998934E-3"/>
    <m/>
    <n v="377.29658849999998"/>
    <x v="2"/>
    <n v="2.4999999999999911E-2"/>
    <n v="0"/>
    <x v="35"/>
    <n v="1132"/>
  </r>
  <r>
    <n v="4"/>
    <x v="0"/>
    <x v="0"/>
    <n v="5"/>
    <n v="4"/>
    <n v="-8.0000000000000071E-2"/>
    <m/>
    <n v="0.33333333333333331"/>
    <x v="0"/>
    <n v="1.0000000000000009E-2"/>
    <n v="0"/>
    <x v="3"/>
    <n v="1"/>
  </r>
  <r>
    <n v="3"/>
    <x v="0"/>
    <x v="0"/>
    <n v="5"/>
    <n v="4"/>
    <n v="-8.0000000000000071E-2"/>
    <m/>
    <n v="4.3744531999999996"/>
    <x v="0"/>
    <n v="-0.29800000000000004"/>
    <s v="Le"/>
    <x v="36"/>
    <n v="13"/>
  </r>
  <r>
    <n v="2"/>
    <x v="0"/>
    <x v="0"/>
    <n v="5"/>
    <n v="4"/>
    <n v="-8.0000000000000071E-2"/>
    <m/>
    <n v="134.5144359"/>
    <x v="1"/>
    <n v="0.19800000000000018"/>
    <n v="0"/>
    <x v="14"/>
    <n v="404"/>
  </r>
  <r>
    <n v="1"/>
    <x v="0"/>
    <x v="0"/>
    <n v="5"/>
    <n v="4"/>
    <n v="-8.0000000000000071E-2"/>
    <m/>
    <n v="334.64566979999995"/>
    <x v="2"/>
    <n v="9.9999999999997868E-3"/>
    <n v="0"/>
    <x v="37"/>
    <n v="1004"/>
  </r>
  <r>
    <n v="5"/>
    <x v="0"/>
    <x v="0"/>
    <n v="4"/>
    <n v="5"/>
    <n v="-0.17999999999999972"/>
    <m/>
    <n v="0.33333333333333331"/>
    <x v="0"/>
    <n v="1.0000000000000009E-2"/>
    <n v="0"/>
    <x v="3"/>
    <n v="1"/>
  </r>
  <r>
    <n v="4"/>
    <x v="0"/>
    <x v="0"/>
    <n v="4"/>
    <n v="5"/>
    <n v="-0.17999999999999972"/>
    <m/>
    <n v="4.9212598499999993"/>
    <x v="0"/>
    <n v="-0.26400000000000001"/>
    <s v="Le"/>
    <x v="38"/>
    <n v="15"/>
  </r>
  <r>
    <n v="3"/>
    <x v="0"/>
    <x v="0"/>
    <n v="4"/>
    <n v="5"/>
    <n v="-0.17999999999999972"/>
    <m/>
    <n v="41.557305399999997"/>
    <x v="3"/>
    <n v="3.3999999999999808E-2"/>
    <n v="0"/>
    <x v="39"/>
    <n v="125"/>
  </r>
  <r>
    <n v="2"/>
    <x v="0"/>
    <x v="0"/>
    <n v="4"/>
    <n v="5"/>
    <n v="-0.17999999999999972"/>
    <m/>
    <n v="284.33945799999998"/>
    <x v="1"/>
    <n v="0"/>
    <n v="0"/>
    <x v="40"/>
    <n v="853"/>
  </r>
  <r>
    <n v="1"/>
    <x v="0"/>
    <x v="0"/>
    <n v="4"/>
    <n v="5"/>
    <n v="-0.17999999999999972"/>
    <m/>
    <n v="577.42782239999997"/>
    <x v="2"/>
    <n v="4.000000000000048E-2"/>
    <n v="0"/>
    <x v="41"/>
    <n v="1732"/>
  </r>
  <r>
    <n v="3"/>
    <x v="0"/>
    <x v="0"/>
    <n v="3"/>
    <n v="3"/>
    <n v="0.20999999999999996"/>
    <m/>
    <n v="1.3342082259999999"/>
    <x v="0"/>
    <n v="0.12999999999999989"/>
    <n v="0"/>
    <x v="10"/>
    <n v="4"/>
  </r>
  <r>
    <n v="2"/>
    <x v="0"/>
    <x v="0"/>
    <n v="3"/>
    <n v="3"/>
    <n v="0.20999999999999996"/>
    <m/>
    <n v="15.310586199999999"/>
    <x v="0"/>
    <n v="-2.1999999999999797E-2"/>
    <s v="Ri"/>
    <x v="11"/>
    <n v="46"/>
  </r>
  <r>
    <n v="1"/>
    <x v="0"/>
    <x v="0"/>
    <n v="3"/>
    <n v="3"/>
    <n v="0.20999999999999996"/>
    <m/>
    <n v="226.37795309999998"/>
    <x v="2"/>
    <n v="0.10199999999999987"/>
    <n v="14"/>
    <x v="42"/>
    <n v="679"/>
  </r>
  <r>
    <n v="5"/>
    <x v="0"/>
    <x v="0"/>
    <n v="2"/>
    <n v="5"/>
    <n v="-1.1890000000000001"/>
    <m/>
    <n v="0.33333333333333331"/>
    <x v="0"/>
    <n v="1.0000000000000009E-2"/>
    <n v="0"/>
    <x v="3"/>
    <n v="1"/>
  </r>
  <r>
    <n v="4"/>
    <x v="0"/>
    <x v="0"/>
    <n v="2"/>
    <n v="5"/>
    <n v="-1.1890000000000001"/>
    <m/>
    <n v="2.1872265999999998"/>
    <x v="0"/>
    <n v="-0.66999999999999993"/>
    <s v="Le"/>
    <x v="0"/>
    <n v="7"/>
  </r>
  <r>
    <n v="3"/>
    <x v="0"/>
    <x v="0"/>
    <n v="2"/>
    <n v="5"/>
    <n v="-1.1890000000000001"/>
    <m/>
    <n v="21.872265999999996"/>
    <x v="3"/>
    <n v="0.24999999999999978"/>
    <n v="0"/>
    <x v="16"/>
    <n v="66"/>
  </r>
  <r>
    <n v="2"/>
    <x v="0"/>
    <x v="0"/>
    <n v="2"/>
    <n v="5"/>
    <n v="-1.1890000000000001"/>
    <m/>
    <n v="32.808398999999994"/>
    <x v="3"/>
    <n v="-1"/>
    <n v="0"/>
    <x v="43"/>
    <n v="98"/>
  </r>
  <r>
    <n v="1"/>
    <x v="0"/>
    <x v="0"/>
    <n v="2"/>
    <n v="5"/>
    <n v="-1.1890000000000001"/>
    <m/>
    <n v="300.74365749999998"/>
    <x v="2"/>
    <n v="0.22100000000000009"/>
    <n v="0"/>
    <x v="44"/>
    <n v="902"/>
  </r>
  <r>
    <n v="3"/>
    <x v="0"/>
    <x v="0"/>
    <n v="1"/>
    <n v="3"/>
    <n v="1.08"/>
    <m/>
    <n v="3.2808398999999997"/>
    <x v="0"/>
    <n v="0.56000000000000005"/>
    <n v="0"/>
    <x v="45"/>
    <n v="10"/>
  </r>
  <r>
    <n v="2"/>
    <x v="0"/>
    <x v="0"/>
    <n v="1"/>
    <n v="3"/>
    <n v="1.08"/>
    <m/>
    <n v="121.39107629999999"/>
    <x v="1"/>
    <n v="0.29000000000000004"/>
    <n v="3"/>
    <x v="46"/>
    <n v="364"/>
  </r>
  <r>
    <n v="1"/>
    <x v="0"/>
    <x v="0"/>
    <n v="1"/>
    <n v="3"/>
    <n v="1.08"/>
    <m/>
    <n v="419.94750719999996"/>
    <x v="2"/>
    <n v="0.22999999999999998"/>
    <n v="0"/>
    <x v="47"/>
    <n v="1260"/>
  </r>
  <r>
    <n v="3"/>
    <x v="1"/>
    <x v="1"/>
    <n v="18"/>
    <n v="3"/>
    <n v="0.97500000000000009"/>
    <m/>
    <n v="3.2808398999999997"/>
    <x v="0"/>
    <n v="0.56000000000000005"/>
    <n v="0"/>
    <x v="45"/>
    <n v="10"/>
  </r>
  <r>
    <n v="2"/>
    <x v="1"/>
    <x v="1"/>
    <n v="18"/>
    <n v="3"/>
    <n v="0.97500000000000009"/>
    <m/>
    <n v="166.22922159999999"/>
    <x v="1"/>
    <n v="0.52"/>
    <n v="3"/>
    <x v="48"/>
    <n v="499"/>
  </r>
  <r>
    <n v="1"/>
    <x v="1"/>
    <x v="1"/>
    <n v="18"/>
    <n v="3"/>
    <n v="0.97500000000000009"/>
    <m/>
    <n v="358.70516239999995"/>
    <x v="2"/>
    <n v="-0.10499999999999998"/>
    <n v="0"/>
    <x v="49"/>
    <n v="1076"/>
  </r>
  <r>
    <n v="4"/>
    <x v="1"/>
    <x v="1"/>
    <n v="17"/>
    <n v="4"/>
    <n v="-0.95000000000000018"/>
    <m/>
    <n v="0.33333333333333331"/>
    <x v="0"/>
    <n v="1.0000000000000009E-2"/>
    <n v="0"/>
    <x v="3"/>
    <n v="1"/>
  </r>
  <r>
    <n v="3"/>
    <x v="1"/>
    <x v="1"/>
    <n v="17"/>
    <n v="4"/>
    <n v="-0.95000000000000018"/>
    <m/>
    <n v="1.6666666666666667"/>
    <x v="0"/>
    <n v="-0.88000000000000012"/>
    <s v="Ri"/>
    <x v="0"/>
    <n v="5"/>
  </r>
  <r>
    <n v="2"/>
    <x v="1"/>
    <x v="1"/>
    <n v="17"/>
    <n v="4"/>
    <n v="-0.95000000000000018"/>
    <m/>
    <n v="8.7489063999999992"/>
    <x v="1"/>
    <n v="-0.10000000000000009"/>
    <n v="0"/>
    <x v="50"/>
    <n v="26"/>
  </r>
  <r>
    <n v="1"/>
    <x v="1"/>
    <x v="1"/>
    <n v="17"/>
    <n v="4"/>
    <n v="-0.95000000000000018"/>
    <m/>
    <n v="168.41644819999999"/>
    <x v="2"/>
    <n v="2.0000000000000018E-2"/>
    <n v="8"/>
    <x v="33"/>
    <n v="505"/>
  </r>
  <r>
    <n v="5"/>
    <x v="1"/>
    <x v="1"/>
    <n v="16"/>
    <n v="5"/>
    <n v="-1.06"/>
    <m/>
    <n v="0.33333333333333331"/>
    <x v="0"/>
    <n v="1.0000000000000009E-2"/>
    <n v="0"/>
    <x v="3"/>
    <n v="1"/>
  </r>
  <r>
    <n v="4"/>
    <x v="1"/>
    <x v="1"/>
    <n v="16"/>
    <n v="5"/>
    <n v="-1.06"/>
    <m/>
    <n v="1.6666666666666667"/>
    <x v="0"/>
    <n v="-0.88000000000000012"/>
    <s v="Ri"/>
    <x v="0"/>
    <n v="5"/>
  </r>
  <r>
    <n v="3"/>
    <x v="1"/>
    <x v="1"/>
    <n v="16"/>
    <n v="5"/>
    <n v="-1.06"/>
    <m/>
    <n v="24.059492599999999"/>
    <x v="0"/>
    <n v="0.16199999999999992"/>
    <s v="Ri"/>
    <x v="51"/>
    <n v="72"/>
  </r>
  <r>
    <n v="2"/>
    <x v="1"/>
    <x v="1"/>
    <n v="16"/>
    <n v="5"/>
    <n v="-1.06"/>
    <m/>
    <n v="129.04636939999997"/>
    <x v="1"/>
    <n v="-0.38199999999999967"/>
    <n v="22"/>
    <x v="52"/>
    <n v="387"/>
  </r>
  <r>
    <n v="1"/>
    <x v="1"/>
    <x v="1"/>
    <n v="16"/>
    <n v="5"/>
    <n v="-1.06"/>
    <m/>
    <n v="344.48818949999998"/>
    <x v="2"/>
    <n v="2.9999999999999805E-2"/>
    <n v="0"/>
    <x v="53"/>
    <n v="1033"/>
  </r>
  <r>
    <n v="5"/>
    <x v="1"/>
    <x v="1"/>
    <n v="15"/>
    <n v="5"/>
    <n v="-0.92250000000000032"/>
    <m/>
    <n v="0.66666666666666663"/>
    <x v="0"/>
    <n v="1.0000000000000009E-2"/>
    <n v="0"/>
    <x v="10"/>
    <n v="2"/>
  </r>
  <r>
    <n v="4"/>
    <x v="1"/>
    <x v="1"/>
    <n v="15"/>
    <n v="5"/>
    <n v="-0.92250000000000032"/>
    <m/>
    <n v="3.3333333333333335"/>
    <x v="0"/>
    <n v="-0.39999999999999991"/>
    <s v="Ri"/>
    <x v="45"/>
    <n v="10"/>
  </r>
  <r>
    <n v="3"/>
    <x v="1"/>
    <x v="1"/>
    <n v="15"/>
    <n v="5"/>
    <n v="-0.92250000000000032"/>
    <m/>
    <n v="63.429571399999993"/>
    <x v="1"/>
    <n v="9.000000000000008E-2"/>
    <n v="3"/>
    <x v="54"/>
    <n v="190"/>
  </r>
  <r>
    <n v="2"/>
    <x v="1"/>
    <x v="1"/>
    <n v="15"/>
    <n v="5"/>
    <n v="-0.92250000000000032"/>
    <m/>
    <n v="133.42082259999998"/>
    <x v="3"/>
    <n v="-0.55000000000000027"/>
    <n v="0"/>
    <x v="28"/>
    <n v="400"/>
  </r>
  <r>
    <n v="1"/>
    <x v="1"/>
    <x v="1"/>
    <n v="15"/>
    <n v="5"/>
    <n v="-0.92250000000000032"/>
    <m/>
    <n v="398.07524119999994"/>
    <x v="2"/>
    <n v="-7.2500000000000231E-2"/>
    <n v="0"/>
    <x v="55"/>
    <n v="1194"/>
  </r>
  <r>
    <n v="4"/>
    <x v="1"/>
    <x v="1"/>
    <n v="14"/>
    <n v="4"/>
    <n v="0.28000000000000025"/>
    <m/>
    <n v="1.3333333333333333"/>
    <x v="0"/>
    <n v="0.12999999999999989"/>
    <n v="0"/>
    <x v="10"/>
    <n v="4"/>
  </r>
  <r>
    <n v="3"/>
    <x v="1"/>
    <x v="1"/>
    <n v="14"/>
    <n v="4"/>
    <n v="0.28000000000000025"/>
    <m/>
    <n v="15.310586199999999"/>
    <x v="4"/>
    <n v="0.35000000000000009"/>
    <n v="0"/>
    <x v="11"/>
    <n v="46"/>
  </r>
  <r>
    <n v="2"/>
    <x v="1"/>
    <x v="1"/>
    <n v="14"/>
    <n v="4"/>
    <n v="0.28000000000000025"/>
    <m/>
    <n v="172.7909014"/>
    <x v="1"/>
    <n v="-0.39999999999999991"/>
    <n v="14"/>
    <x v="56"/>
    <n v="518"/>
  </r>
  <r>
    <n v="1"/>
    <x v="1"/>
    <x v="1"/>
    <n v="14"/>
    <n v="4"/>
    <n v="0.28000000000000025"/>
    <m/>
    <n v="447.28783969999995"/>
    <x v="2"/>
    <n v="0.20000000000000018"/>
    <n v="0"/>
    <x v="57"/>
    <n v="1342"/>
  </r>
  <r>
    <n v="4"/>
    <x v="1"/>
    <x v="1"/>
    <n v="13"/>
    <n v="4"/>
    <n v="0.79"/>
    <m/>
    <n v="3"/>
    <x v="0"/>
    <n v="0.56000000000000005"/>
    <n v="0"/>
    <x v="45"/>
    <n v="9"/>
  </r>
  <r>
    <n v="3"/>
    <x v="1"/>
    <x v="1"/>
    <n v="13"/>
    <n v="4"/>
    <n v="0.79"/>
    <m/>
    <n v="60.148731499999997"/>
    <x v="1"/>
    <n v="0.14000000000000012"/>
    <n v="3"/>
    <x v="58"/>
    <n v="180"/>
  </r>
  <r>
    <n v="2"/>
    <x v="1"/>
    <x v="1"/>
    <n v="13"/>
    <n v="4"/>
    <n v="0.79"/>
    <m/>
    <n v="328.08398999999997"/>
    <x v="1"/>
    <n v="0.17999999999999972"/>
    <n v="0"/>
    <x v="59"/>
    <n v="984"/>
  </r>
  <r>
    <n v="1"/>
    <x v="1"/>
    <x v="1"/>
    <n v="13"/>
    <n v="4"/>
    <n v="0.79"/>
    <m/>
    <n v="541.33858349999991"/>
    <x v="2"/>
    <n v="-8.9999999999999858E-2"/>
    <n v="0"/>
    <x v="60"/>
    <n v="1624"/>
  </r>
  <r>
    <n v="2"/>
    <x v="1"/>
    <x v="1"/>
    <n v="12"/>
    <n v="2"/>
    <n v="1.153"/>
    <m/>
    <n v="2.6666666666666665"/>
    <x v="0"/>
    <n v="0.41999999999999993"/>
    <n v="0"/>
    <x v="45"/>
    <n v="8"/>
  </r>
  <r>
    <n v="1"/>
    <x v="1"/>
    <x v="1"/>
    <n v="12"/>
    <n v="2"/>
    <n v="1.153"/>
    <m/>
    <n v="194.66316739999999"/>
    <x v="2"/>
    <n v="0.7330000000000001"/>
    <n v="2"/>
    <x v="61"/>
    <n v="584"/>
  </r>
  <r>
    <n v="5"/>
    <x v="1"/>
    <x v="1"/>
    <n v="11"/>
    <n v="5"/>
    <n v="-0.17999999999999972"/>
    <m/>
    <n v="5.4680664999999991"/>
    <x v="0"/>
    <n v="0.79800000000000004"/>
    <n v="0"/>
    <x v="38"/>
    <n v="16"/>
  </r>
  <r>
    <n v="4"/>
    <x v="1"/>
    <x v="1"/>
    <n v="11"/>
    <n v="5"/>
    <n v="-0.17999999999999972"/>
    <m/>
    <n v="14.216972899999998"/>
    <x v="0"/>
    <n v="-0.72199999999999998"/>
    <s v="Lo"/>
    <x v="62"/>
    <n v="43"/>
  </r>
  <r>
    <n v="3"/>
    <x v="1"/>
    <x v="1"/>
    <n v="11"/>
    <n v="5"/>
    <n v="-0.17999999999999972"/>
    <m/>
    <n v="132.32720929999999"/>
    <x v="1"/>
    <n v="-0.16599999999999993"/>
    <n v="13"/>
    <x v="63"/>
    <n v="397"/>
  </r>
  <r>
    <n v="2"/>
    <x v="1"/>
    <x v="1"/>
    <n v="11"/>
    <n v="5"/>
    <n v="-0.17999999999999972"/>
    <m/>
    <n v="351.04986929999995"/>
    <x v="1"/>
    <n v="0.12000000000000011"/>
    <n v="0"/>
    <x v="64"/>
    <n v="1053"/>
  </r>
  <r>
    <n v="1"/>
    <x v="1"/>
    <x v="1"/>
    <n v="11"/>
    <n v="5"/>
    <n v="-0.17999999999999972"/>
    <m/>
    <n v="612.42344799999989"/>
    <x v="2"/>
    <n v="-0.20999999999999996"/>
    <n v="0"/>
    <x v="65"/>
    <n v="1837"/>
  </r>
  <r>
    <n v="4"/>
    <x v="1"/>
    <x v="1"/>
    <n v="10"/>
    <n v="4"/>
    <n v="-0.10999999999999988"/>
    <m/>
    <n v="1"/>
    <x v="0"/>
    <n v="4.0000000000000036E-2"/>
    <n v="0"/>
    <x v="10"/>
    <n v="3"/>
  </r>
  <r>
    <n v="3"/>
    <x v="1"/>
    <x v="1"/>
    <n v="10"/>
    <n v="4"/>
    <n v="-0.10999999999999988"/>
    <m/>
    <n v="20.778652699999999"/>
    <x v="3"/>
    <n v="0.54999999999999982"/>
    <n v="0"/>
    <x v="66"/>
    <n v="62"/>
  </r>
  <r>
    <n v="2"/>
    <x v="1"/>
    <x v="1"/>
    <n v="10"/>
    <n v="4"/>
    <n v="-0.10999999999999988"/>
    <m/>
    <n v="106.08049009999999"/>
    <x v="3"/>
    <n v="-0.62999999999999989"/>
    <n v="0"/>
    <x v="67"/>
    <n v="318"/>
  </r>
  <r>
    <n v="1"/>
    <x v="1"/>
    <x v="1"/>
    <n v="10"/>
    <n v="4"/>
    <n v="-0.10999999999999988"/>
    <m/>
    <n v="321.52231019999999"/>
    <x v="2"/>
    <n v="-6.999999999999984E-2"/>
    <n v="0"/>
    <x v="68"/>
    <n v="965"/>
  </r>
  <r>
    <n v="3"/>
    <x v="1"/>
    <x v="1"/>
    <n v="9"/>
    <n v="3"/>
    <n v="-2.9999999999999805E-2"/>
    <m/>
    <n v="0.33333333333333331"/>
    <x v="0"/>
    <n v="1.0000000000000009E-2"/>
    <n v="0"/>
    <x v="3"/>
    <n v="1"/>
  </r>
  <r>
    <n v="2"/>
    <x v="1"/>
    <x v="1"/>
    <n v="9"/>
    <n v="3"/>
    <n v="-2.9999999999999805E-2"/>
    <m/>
    <n v="2.1872265999999998"/>
    <x v="0"/>
    <n v="-0.66999999999999993"/>
    <s v="Lo"/>
    <x v="0"/>
    <n v="7"/>
  </r>
  <r>
    <n v="1"/>
    <x v="1"/>
    <x v="1"/>
    <n v="9"/>
    <n v="3"/>
    <n v="-2.9999999999999805E-2"/>
    <m/>
    <n v="135.60804919999998"/>
    <x v="2"/>
    <n v="0.63000000000000012"/>
    <n v="2"/>
    <x v="69"/>
    <n v="407"/>
  </r>
  <r>
    <n v="5"/>
    <x v="1"/>
    <x v="1"/>
    <n v="8"/>
    <n v="5"/>
    <n v="-0.30499999999999972"/>
    <m/>
    <n v="0.66666666666666663"/>
    <x v="0"/>
    <n v="1.0000000000000009E-2"/>
    <n v="0"/>
    <x v="10"/>
    <n v="2"/>
  </r>
  <r>
    <n v="4"/>
    <x v="1"/>
    <x v="1"/>
    <n v="8"/>
    <n v="5"/>
    <n v="-0.30499999999999972"/>
    <m/>
    <n v="7.6552930999999997"/>
    <x v="0"/>
    <n v="-0.1160000000000001"/>
    <s v="Ri"/>
    <x v="4"/>
    <n v="23"/>
  </r>
  <r>
    <n v="3"/>
    <x v="1"/>
    <x v="1"/>
    <n v="8"/>
    <n v="5"/>
    <n v="-0.30499999999999972"/>
    <m/>
    <n v="134.5144359"/>
    <x v="3"/>
    <n v="0.25600000000000001"/>
    <n v="7"/>
    <x v="14"/>
    <n v="404"/>
  </r>
  <r>
    <n v="2"/>
    <x v="1"/>
    <x v="1"/>
    <n v="8"/>
    <n v="5"/>
    <n v="-0.30499999999999972"/>
    <m/>
    <n v="199.03762059999997"/>
    <x v="5"/>
    <n v="-0.2799999999999998"/>
    <n v="0"/>
    <x v="12"/>
    <n v="597"/>
  </r>
  <r>
    <n v="1"/>
    <x v="1"/>
    <x v="1"/>
    <n v="8"/>
    <n v="5"/>
    <n v="-0.30499999999999972"/>
    <m/>
    <n v="510.71741109999994"/>
    <x v="2"/>
    <n v="-0.17499999999999982"/>
    <n v="0"/>
    <x v="70"/>
    <n v="1532"/>
  </r>
  <r>
    <n v="4"/>
    <x v="1"/>
    <x v="1"/>
    <n v="7"/>
    <n v="4"/>
    <n v="8.8499999999999801E-2"/>
    <m/>
    <n v="0.66666666666666663"/>
    <x v="0"/>
    <n v="1.0000000000000009E-2"/>
    <n v="0"/>
    <x v="10"/>
    <n v="2"/>
  </r>
  <r>
    <n v="3"/>
    <x v="1"/>
    <x v="1"/>
    <n v="7"/>
    <n v="4"/>
    <n v="8.8499999999999801E-2"/>
    <m/>
    <n v="7.6552930999999997"/>
    <x v="0"/>
    <n v="-0.1160000000000001"/>
    <s v="Hi"/>
    <x v="4"/>
    <n v="23"/>
  </r>
  <r>
    <n v="2"/>
    <x v="1"/>
    <x v="1"/>
    <n v="7"/>
    <n v="4"/>
    <n v="8.8499999999999801E-2"/>
    <m/>
    <n v="134.5144359"/>
    <x v="1"/>
    <n v="1.6000000000000236E-2"/>
    <n v="7"/>
    <x v="14"/>
    <n v="404"/>
  </r>
  <r>
    <n v="1"/>
    <x v="1"/>
    <x v="1"/>
    <n v="7"/>
    <n v="4"/>
    <n v="8.8499999999999801E-2"/>
    <m/>
    <n v="400.26246779999997"/>
    <x v="2"/>
    <n v="0.17849999999999966"/>
    <n v="0"/>
    <x v="71"/>
    <n v="1201"/>
  </r>
  <r>
    <n v="4"/>
    <x v="1"/>
    <x v="1"/>
    <n v="6"/>
    <n v="4"/>
    <n v="-0.17499999999999982"/>
    <m/>
    <n v="0.33333333333333331"/>
    <x v="0"/>
    <n v="1.0000000000000009E-2"/>
    <n v="0"/>
    <x v="3"/>
    <n v="1"/>
  </r>
  <r>
    <n v="3"/>
    <x v="1"/>
    <x v="1"/>
    <n v="6"/>
    <n v="4"/>
    <n v="-0.17499999999999982"/>
    <m/>
    <n v="6.5616797999999994"/>
    <x v="0"/>
    <n v="-0.15799999999999992"/>
    <s v="Hi"/>
    <x v="8"/>
    <n v="20"/>
  </r>
  <r>
    <n v="2"/>
    <x v="1"/>
    <x v="1"/>
    <n v="6"/>
    <n v="4"/>
    <n v="-0.17499999999999982"/>
    <m/>
    <n v="82.020997499999993"/>
    <x v="1"/>
    <n v="-0.10200000000000009"/>
    <n v="6"/>
    <x v="72"/>
    <n v="246"/>
  </r>
  <r>
    <n v="1"/>
    <x v="1"/>
    <x v="1"/>
    <n v="6"/>
    <n v="4"/>
    <n v="-0.17499999999999982"/>
    <m/>
    <n v="309.49256389999999"/>
    <x v="2"/>
    <n v="7.5000000000000178E-2"/>
    <n v="0"/>
    <x v="73"/>
    <n v="928"/>
  </r>
  <r>
    <n v="5"/>
    <x v="1"/>
    <x v="1"/>
    <n v="5"/>
    <n v="5"/>
    <n v="-1.08"/>
    <m/>
    <n v="0.33333333333333331"/>
    <x v="0"/>
    <n v="1.0000000000000009E-2"/>
    <n v="0"/>
    <x v="3"/>
    <n v="1"/>
  </r>
  <r>
    <n v="4"/>
    <x v="1"/>
    <x v="1"/>
    <n v="5"/>
    <n v="5"/>
    <n v="-1.08"/>
    <m/>
    <n v="1"/>
    <x v="0"/>
    <n v="-0.97"/>
    <s v="Hi"/>
    <x v="10"/>
    <n v="3"/>
  </r>
  <r>
    <n v="3"/>
    <x v="1"/>
    <x v="1"/>
    <n v="5"/>
    <n v="5"/>
    <n v="-1.08"/>
    <m/>
    <n v="7.6552930999999997"/>
    <x v="0"/>
    <n v="-0.14600000000000013"/>
    <s v="Hi"/>
    <x v="4"/>
    <n v="23"/>
  </r>
  <r>
    <n v="2"/>
    <x v="1"/>
    <x v="1"/>
    <n v="5"/>
    <n v="5"/>
    <n v="-1.08"/>
    <m/>
    <n v="129.04636939999997"/>
    <x v="3"/>
    <n v="0.25600000000000001"/>
    <n v="7"/>
    <x v="52"/>
    <n v="387"/>
  </r>
  <r>
    <n v="1"/>
    <x v="1"/>
    <x v="1"/>
    <n v="5"/>
    <n v="5"/>
    <n v="-1.08"/>
    <m/>
    <n v="329.17760329999999"/>
    <x v="2"/>
    <n v="-0.22999999999999998"/>
    <n v="0"/>
    <x v="74"/>
    <n v="988"/>
  </r>
  <r>
    <n v="2"/>
    <x v="1"/>
    <x v="1"/>
    <n v="4"/>
    <n v="2"/>
    <n v="0.9700000000000002"/>
    <m/>
    <n v="1.6666666666666667"/>
    <x v="0"/>
    <n v="0.12999999999999989"/>
    <n v="0"/>
    <x v="0"/>
    <n v="5"/>
  </r>
  <r>
    <n v="1"/>
    <x v="1"/>
    <x v="1"/>
    <n v="4"/>
    <n v="2"/>
    <n v="0.9700000000000002"/>
    <m/>
    <n v="129.04636939999997"/>
    <x v="2"/>
    <n v="0.8400000000000003"/>
    <n v="2"/>
    <x v="52"/>
    <n v="387"/>
  </r>
  <r>
    <n v="6"/>
    <x v="1"/>
    <x v="1"/>
    <n v="3"/>
    <n v="6"/>
    <n v="-2.29"/>
    <m/>
    <n v="0.33333333333333331"/>
    <x v="0"/>
    <n v="1.0000000000000009E-2"/>
    <n v="0"/>
    <x v="3"/>
    <n v="1"/>
  </r>
  <r>
    <n v="5"/>
    <x v="1"/>
    <x v="1"/>
    <n v="3"/>
    <n v="6"/>
    <n v="-2.29"/>
    <m/>
    <n v="2.1872265999999998"/>
    <x v="0"/>
    <n v="-0.66999999999999993"/>
    <s v="Ri"/>
    <x v="0"/>
    <n v="7"/>
  </r>
  <r>
    <n v="4"/>
    <x v="1"/>
    <x v="1"/>
    <n v="3"/>
    <n v="6"/>
    <n v="-2.29"/>
    <m/>
    <n v="21.872265999999996"/>
    <x v="4"/>
    <n v="0.18999999999999972"/>
    <n v="0"/>
    <x v="16"/>
    <n v="66"/>
  </r>
  <r>
    <n v="3"/>
    <x v="1"/>
    <x v="1"/>
    <n v="3"/>
    <n v="6"/>
    <n v="-2.29"/>
    <m/>
    <n v="38.276465499999993"/>
    <x v="5"/>
    <n v="0.27"/>
    <n v="0"/>
    <x v="75"/>
    <n v="115"/>
  </r>
  <r>
    <n v="2"/>
    <x v="1"/>
    <x v="1"/>
    <n v="3"/>
    <n v="6"/>
    <n v="-2.29"/>
    <m/>
    <n v="60.148731499999997"/>
    <x v="5"/>
    <n v="-1"/>
    <n v="0"/>
    <x v="58"/>
    <n v="180"/>
  </r>
  <r>
    <n v="1"/>
    <x v="1"/>
    <x v="1"/>
    <n v="3"/>
    <n v="6"/>
    <n v="-2.29"/>
    <m/>
    <n v="276.68416489999998"/>
    <x v="2"/>
    <n v="-1.0899999999999999"/>
    <n v="0"/>
    <x v="76"/>
    <n v="830"/>
  </r>
  <r>
    <n v="4"/>
    <x v="1"/>
    <x v="1"/>
    <n v="2"/>
    <n v="4"/>
    <n v="0.74000000000000021"/>
    <m/>
    <n v="0.66666666666666663"/>
    <x v="0"/>
    <n v="1.0000000000000009E-2"/>
    <n v="0"/>
    <x v="10"/>
    <n v="2"/>
  </r>
  <r>
    <n v="3"/>
    <x v="1"/>
    <x v="1"/>
    <n v="2"/>
    <n v="4"/>
    <n v="0.74000000000000021"/>
    <m/>
    <n v="4.3744531999999996"/>
    <x v="0"/>
    <n v="-0.29800000000000004"/>
    <s v="Lo"/>
    <x v="36"/>
    <n v="13"/>
  </r>
  <r>
    <n v="2"/>
    <x v="1"/>
    <x v="1"/>
    <n v="2"/>
    <n v="4"/>
    <n v="0.74000000000000021"/>
    <m/>
    <n v="215.44182009999997"/>
    <x v="1"/>
    <n v="0.60799999999999987"/>
    <n v="4"/>
    <x v="77"/>
    <n v="646"/>
  </r>
  <r>
    <n v="1"/>
    <x v="1"/>
    <x v="1"/>
    <n v="2"/>
    <n v="4"/>
    <n v="0.74000000000000021"/>
    <m/>
    <n v="513.99825099999998"/>
    <x v="2"/>
    <n v="0.42000000000000037"/>
    <n v="0"/>
    <x v="78"/>
    <n v="1542"/>
  </r>
  <r>
    <n v="5"/>
    <x v="1"/>
    <x v="1"/>
    <n v="1"/>
    <n v="5"/>
    <n v="-0.95000000000000018"/>
    <m/>
    <n v="0.33333333333333331"/>
    <x v="0"/>
    <n v="1.0000000000000009E-2"/>
    <n v="0"/>
    <x v="3"/>
    <n v="1"/>
  </r>
  <r>
    <n v="4"/>
    <x v="1"/>
    <x v="1"/>
    <n v="1"/>
    <n v="5"/>
    <n v="-0.95000000000000018"/>
    <m/>
    <n v="0.66666666666666663"/>
    <x v="0"/>
    <n v="-1"/>
    <n v="0"/>
    <x v="10"/>
    <n v="2"/>
  </r>
  <r>
    <n v="3"/>
    <x v="1"/>
    <x v="1"/>
    <n v="1"/>
    <n v="5"/>
    <n v="-0.95000000000000018"/>
    <m/>
    <n v="4.3744531999999996"/>
    <x v="0"/>
    <n v="-0.29800000000000004"/>
    <s v="Lo"/>
    <x v="36"/>
    <n v="13"/>
  </r>
  <r>
    <n v="2"/>
    <x v="1"/>
    <x v="1"/>
    <n v="1"/>
    <n v="5"/>
    <n v="-0.95000000000000018"/>
    <m/>
    <n v="167.32283489999998"/>
    <x v="1"/>
    <n v="0.3680000000000001"/>
    <n v="4"/>
    <x v="79"/>
    <n v="502"/>
  </r>
  <r>
    <n v="1"/>
    <x v="1"/>
    <x v="1"/>
    <n v="1"/>
    <n v="5"/>
    <n v="-0.95000000000000018"/>
    <m/>
    <n v="393.70078799999999"/>
    <x v="2"/>
    <n v="-3.0000000000000249E-2"/>
    <n v="0"/>
    <x v="80"/>
    <n v="1181"/>
  </r>
  <r>
    <n v="4"/>
    <x v="2"/>
    <x v="1"/>
    <n v="16"/>
    <n v="4"/>
    <n v="-6.0000000000000053E-2"/>
    <m/>
    <n v="0.33333333333333331"/>
    <x v="0"/>
    <n v="1.0000000000000009E-2"/>
    <n v="0"/>
    <x v="3"/>
    <n v="1"/>
  </r>
  <r>
    <n v="3"/>
    <x v="2"/>
    <x v="1"/>
    <n v="16"/>
    <n v="4"/>
    <n v="-6.0000000000000053E-2"/>
    <m/>
    <n v="4.3744531999999996"/>
    <x v="0"/>
    <n v="-0.29800000000000004"/>
    <s v="Hi"/>
    <x v="36"/>
    <n v="13"/>
  </r>
  <r>
    <n v="2"/>
    <x v="2"/>
    <x v="1"/>
    <n v="16"/>
    <n v="4"/>
    <n v="-6.0000000000000053E-2"/>
    <m/>
    <n v="164.04199499999999"/>
    <x v="3"/>
    <n v="0.51800000000000002"/>
    <n v="0"/>
    <x v="81"/>
    <n v="492"/>
  </r>
  <r>
    <n v="1"/>
    <x v="2"/>
    <x v="1"/>
    <n v="16"/>
    <n v="4"/>
    <n v="-6.0000000000000053E-2"/>
    <m/>
    <n v="344.48818949999998"/>
    <x v="2"/>
    <n v="-0.29000000000000004"/>
    <n v="0"/>
    <x v="53"/>
    <n v="1033"/>
  </r>
  <r>
    <n v="5"/>
    <x v="2"/>
    <x v="1"/>
    <n v="15"/>
    <n v="5"/>
    <n v="-0.92250000000000032"/>
    <m/>
    <n v="0.33333333333333331"/>
    <x v="0"/>
    <n v="1.0000000000000009E-2"/>
    <n v="0"/>
    <x v="3"/>
    <n v="1"/>
  </r>
  <r>
    <n v="4"/>
    <x v="2"/>
    <x v="1"/>
    <n v="15"/>
    <n v="5"/>
    <n v="-0.92250000000000032"/>
    <m/>
    <n v="8.7489063999999992"/>
    <x v="0"/>
    <n v="-7.0000000000000062E-2"/>
    <s v="Le"/>
    <x v="50"/>
    <n v="26"/>
  </r>
  <r>
    <n v="3"/>
    <x v="2"/>
    <x v="1"/>
    <n v="15"/>
    <n v="5"/>
    <n v="-0.92250000000000032"/>
    <m/>
    <n v="132.32720929999999"/>
    <x v="3"/>
    <n v="0.20999999999999996"/>
    <n v="0"/>
    <x v="63"/>
    <n v="397"/>
  </r>
  <r>
    <n v="2"/>
    <x v="2"/>
    <x v="1"/>
    <n v="15"/>
    <n v="5"/>
    <n v="-0.92250000000000032"/>
    <m/>
    <n v="136.7016625"/>
    <x v="5"/>
    <n v="-0.35000000000000009"/>
    <n v="0"/>
    <x v="82"/>
    <n v="410"/>
  </r>
  <r>
    <n v="1"/>
    <x v="2"/>
    <x v="1"/>
    <n v="15"/>
    <n v="5"/>
    <n v="-0.92250000000000032"/>
    <m/>
    <n v="398.07524119999994"/>
    <x v="2"/>
    <n v="-0.72250000000000014"/>
    <n v="0"/>
    <x v="55"/>
    <n v="1194"/>
  </r>
  <r>
    <n v="4"/>
    <x v="2"/>
    <x v="1"/>
    <n v="14"/>
    <n v="4"/>
    <n v="0.28000000000000047"/>
    <m/>
    <n v="2"/>
    <x v="0"/>
    <n v="0.34000000000000008"/>
    <n v="0"/>
    <x v="0"/>
    <n v="6"/>
  </r>
  <r>
    <n v="3"/>
    <x v="2"/>
    <x v="1"/>
    <n v="14"/>
    <n v="4"/>
    <n v="0.28000000000000047"/>
    <m/>
    <n v="13.123359599999999"/>
    <x v="3"/>
    <n v="0"/>
    <n v="0"/>
    <x v="19"/>
    <n v="39"/>
  </r>
  <r>
    <n v="2"/>
    <x v="2"/>
    <x v="1"/>
    <n v="14"/>
    <n v="4"/>
    <n v="0.28000000000000047"/>
    <m/>
    <n v="166.22922159999999"/>
    <x v="1"/>
    <n v="-0.25999999999999979"/>
    <n v="12"/>
    <x v="48"/>
    <n v="499"/>
  </r>
  <r>
    <n v="1"/>
    <x v="2"/>
    <x v="1"/>
    <n v="14"/>
    <n v="4"/>
    <n v="0.28000000000000047"/>
    <m/>
    <n v="447.28783969999995"/>
    <x v="2"/>
    <n v="0.20000000000000018"/>
    <n v="0"/>
    <x v="57"/>
    <n v="1342"/>
  </r>
  <r>
    <n v="5"/>
    <x v="2"/>
    <x v="1"/>
    <n v="13"/>
    <n v="5"/>
    <n v="-0.20999999999999996"/>
    <m/>
    <n v="0.66666666666666663"/>
    <x v="0"/>
    <n v="1.0000000000000009E-2"/>
    <n v="0"/>
    <x v="10"/>
    <n v="2"/>
  </r>
  <r>
    <n v="4"/>
    <x v="2"/>
    <x v="1"/>
    <n v="13"/>
    <n v="5"/>
    <n v="-0.20999999999999996"/>
    <m/>
    <n v="15.310586199999999"/>
    <x v="0"/>
    <n v="9.8000000000000087E-2"/>
    <s v="Le"/>
    <x v="11"/>
    <n v="46"/>
  </r>
  <r>
    <n v="3"/>
    <x v="2"/>
    <x v="1"/>
    <n v="13"/>
    <n v="5"/>
    <n v="-0.20999999999999996"/>
    <m/>
    <n v="190.28871419999999"/>
    <x v="1"/>
    <n v="8.1999999999999851E-2"/>
    <n v="0"/>
    <x v="83"/>
    <n v="571"/>
  </r>
  <r>
    <n v="2"/>
    <x v="2"/>
    <x v="1"/>
    <n v="13"/>
    <n v="5"/>
    <n v="-0.20999999999999996"/>
    <m/>
    <n v="351.04986929999995"/>
    <x v="1"/>
    <n v="-0.1599999999999997"/>
    <n v="0"/>
    <x v="64"/>
    <n v="1053"/>
  </r>
  <r>
    <n v="1"/>
    <x v="2"/>
    <x v="1"/>
    <n v="13"/>
    <n v="5"/>
    <n v="-0.20999999999999996"/>
    <m/>
    <n v="541.33858349999991"/>
    <x v="2"/>
    <n v="-0.24000000000000021"/>
    <n v="0"/>
    <x v="60"/>
    <n v="1624"/>
  </r>
  <r>
    <n v="5"/>
    <x v="2"/>
    <x v="1"/>
    <n v="12"/>
    <n v="5"/>
    <n v="-1.915"/>
    <m/>
    <n v="0.33333333333333331"/>
    <x v="0"/>
    <n v="1.0000000000000009E-2"/>
    <n v="0"/>
    <x v="3"/>
    <n v="1"/>
  </r>
  <r>
    <n v="4"/>
    <x v="2"/>
    <x v="1"/>
    <n v="12"/>
    <n v="5"/>
    <n v="-1.915"/>
    <m/>
    <n v="1.3333333333333333"/>
    <x v="0"/>
    <n v="-0.88000000000000012"/>
    <n v="0"/>
    <x v="10"/>
    <n v="4"/>
  </r>
  <r>
    <n v="3"/>
    <x v="2"/>
    <x v="1"/>
    <n v="12"/>
    <n v="5"/>
    <n v="-1.915"/>
    <m/>
    <n v="4.3744531999999996"/>
    <x v="0"/>
    <n v="-0.41799999999999993"/>
    <s v="Le"/>
    <x v="36"/>
    <n v="13"/>
  </r>
  <r>
    <n v="2"/>
    <x v="2"/>
    <x v="1"/>
    <n v="12"/>
    <n v="5"/>
    <n v="-1.915"/>
    <m/>
    <n v="37.182852199999999"/>
    <x v="3"/>
    <n v="6.7999999999999838E-2"/>
    <n v="0"/>
    <x v="84"/>
    <n v="112"/>
  </r>
  <r>
    <n v="1"/>
    <x v="2"/>
    <x v="1"/>
    <n v="12"/>
    <n v="5"/>
    <n v="-1.915"/>
    <m/>
    <n v="182.63342109999999"/>
    <x v="2"/>
    <n v="-0.69499999999999984"/>
    <n v="34"/>
    <x v="85"/>
    <n v="548"/>
  </r>
  <r>
    <n v="5"/>
    <x v="3"/>
    <x v="2"/>
    <n v="9"/>
    <n v="5"/>
    <n v="-1.9500000000000002"/>
    <m/>
    <n v="0.33333333333333331"/>
    <x v="0"/>
    <n v="1.0000000000000009E-2"/>
    <n v="0"/>
    <x v="3"/>
    <n v="1"/>
  </r>
  <r>
    <n v="4"/>
    <x v="3"/>
    <x v="2"/>
    <n v="9"/>
    <n v="5"/>
    <n v="-1.9500000000000002"/>
    <m/>
    <n v="3.2808398999999997"/>
    <x v="0"/>
    <n v="-0.44999999999999996"/>
    <s v="Le"/>
    <x v="45"/>
    <n v="10"/>
  </r>
  <r>
    <n v="2"/>
    <x v="3"/>
    <x v="2"/>
    <n v="9"/>
    <n v="5"/>
    <n v="-1.9500000000000002"/>
    <m/>
    <n v="21.872265999999996"/>
    <x v="3"/>
    <n v="-0.94"/>
    <n v="0"/>
    <x v="16"/>
    <n v="66"/>
  </r>
  <r>
    <n v="3"/>
    <x v="3"/>
    <x v="2"/>
    <n v="9"/>
    <n v="5"/>
    <n v="-1.9500000000000002"/>
    <m/>
    <n v="27.340332499999999"/>
    <x v="4"/>
    <n v="-3.0000000000000249E-2"/>
    <n v="0"/>
    <x v="86"/>
    <n v="82"/>
  </r>
  <r>
    <n v="1"/>
    <x v="3"/>
    <x v="2"/>
    <n v="9"/>
    <n v="5"/>
    <n v="-1.9500000000000002"/>
    <m/>
    <n v="167.32283489999998"/>
    <x v="2"/>
    <n v="-0.54"/>
    <n v="0"/>
    <x v="79"/>
    <n v="502"/>
  </r>
  <r>
    <n v="4"/>
    <x v="3"/>
    <x v="2"/>
    <n v="8"/>
    <n v="4"/>
    <n v="0.82000000000000028"/>
    <m/>
    <n v="0.66666666666666663"/>
    <x v="0"/>
    <n v="1.0000000000000009E-2"/>
    <n v="0"/>
    <x v="10"/>
    <n v="2"/>
  </r>
  <r>
    <n v="3"/>
    <x v="3"/>
    <x v="2"/>
    <n v="8"/>
    <n v="4"/>
    <n v="0.82000000000000028"/>
    <m/>
    <n v="37.182852199999999"/>
    <x v="3"/>
    <n v="0.7699999999999998"/>
    <n v="0"/>
    <x v="84"/>
    <n v="112"/>
  </r>
  <r>
    <n v="2"/>
    <x v="3"/>
    <x v="2"/>
    <n v="8"/>
    <n v="4"/>
    <n v="0.82000000000000028"/>
    <m/>
    <n v="157.48031519999998"/>
    <x v="3"/>
    <n v="-0.54999999999999982"/>
    <n v="0"/>
    <x v="87"/>
    <n v="472"/>
  </r>
  <r>
    <n v="1"/>
    <x v="3"/>
    <x v="2"/>
    <n v="8"/>
    <n v="4"/>
    <n v="0.82000000000000028"/>
    <m/>
    <n v="567.58530269999994"/>
    <x v="2"/>
    <n v="0.5900000000000003"/>
    <n v="0"/>
    <x v="88"/>
    <n v="1703"/>
  </r>
  <r>
    <n v="7"/>
    <x v="3"/>
    <x v="2"/>
    <n v="7"/>
    <n v="7"/>
    <n v="-2.7750000000000004"/>
    <m/>
    <n v="0.33333333333333331"/>
    <x v="0"/>
    <n v="1.0000000000000009E-2"/>
    <n v="0"/>
    <x v="3"/>
    <n v="1"/>
  </r>
  <r>
    <n v="6"/>
    <x v="3"/>
    <x v="2"/>
    <n v="7"/>
    <n v="7"/>
    <n v="-2.7750000000000004"/>
    <m/>
    <n v="3.2808398999999997"/>
    <x v="0"/>
    <n v="-0.44999999999999996"/>
    <s v="Le"/>
    <x v="45"/>
    <n v="10"/>
  </r>
  <r>
    <n v="5"/>
    <x v="3"/>
    <x v="2"/>
    <n v="7"/>
    <n v="7"/>
    <n v="-2.7750000000000004"/>
    <m/>
    <n v="14.216972899999998"/>
    <x v="3"/>
    <n v="-8.9999999999999858E-2"/>
    <n v="0"/>
    <x v="62"/>
    <n v="43"/>
  </r>
  <r>
    <n v="4"/>
    <x v="3"/>
    <x v="2"/>
    <n v="7"/>
    <n v="7"/>
    <n v="-2.7750000000000004"/>
    <m/>
    <n v="87.489063999999985"/>
    <x v="1"/>
    <n v="-0.7200000000000002"/>
    <n v="0"/>
    <x v="89"/>
    <n v="262"/>
  </r>
  <r>
    <n v="3"/>
    <x v="3"/>
    <x v="2"/>
    <n v="7"/>
    <n v="7"/>
    <n v="-2.7750000000000004"/>
    <m/>
    <n v="153.10586199999997"/>
    <x v="3"/>
    <n v="-0.52"/>
    <n v="0"/>
    <x v="20"/>
    <n v="459"/>
  </r>
  <r>
    <n v="2"/>
    <x v="3"/>
    <x v="2"/>
    <n v="7"/>
    <n v="7"/>
    <n v="-2.7750000000000004"/>
    <m/>
    <n v="169.51006149999998"/>
    <x v="5"/>
    <n v="-0.41000000000000014"/>
    <n v="0"/>
    <x v="90"/>
    <n v="509"/>
  </r>
  <r>
    <n v="1"/>
    <x v="3"/>
    <x v="2"/>
    <n v="7"/>
    <n v="7"/>
    <n v="-2.7750000000000004"/>
    <m/>
    <n v="431.97725349999996"/>
    <x v="2"/>
    <n v="-0.5950000000000002"/>
    <n v="0"/>
    <x v="91"/>
    <n v="1296"/>
  </r>
  <r>
    <n v="5"/>
    <x v="3"/>
    <x v="2"/>
    <n v="6"/>
    <n v="5"/>
    <n v="-1.79"/>
    <m/>
    <n v="1.6666666666666667"/>
    <x v="0"/>
    <n v="0.12999999999999989"/>
    <n v="0"/>
    <x v="0"/>
    <n v="5"/>
  </r>
  <r>
    <n v="4"/>
    <x v="3"/>
    <x v="2"/>
    <n v="6"/>
    <n v="5"/>
    <n v="-1.79"/>
    <m/>
    <n v="7.6552930999999997"/>
    <x v="0"/>
    <n v="-0.23599999999999999"/>
    <s v="Le"/>
    <x v="4"/>
    <n v="23"/>
  </r>
  <r>
    <n v="3"/>
    <x v="3"/>
    <x v="2"/>
    <n v="6"/>
    <n v="5"/>
    <n v="-1.79"/>
    <m/>
    <n v="15.310586199999999"/>
    <x v="3"/>
    <n v="-0.42399999999999971"/>
    <n v="0"/>
    <x v="11"/>
    <n v="46"/>
  </r>
  <r>
    <n v="2"/>
    <x v="3"/>
    <x v="2"/>
    <n v="6"/>
    <n v="5"/>
    <n v="-1.79"/>
    <m/>
    <n v="19.685039399999997"/>
    <x v="3"/>
    <n v="-0.88000000000000034"/>
    <n v="0"/>
    <x v="92"/>
    <n v="59"/>
  </r>
  <r>
    <n v="1"/>
    <x v="3"/>
    <x v="2"/>
    <n v="6"/>
    <n v="5"/>
    <n v="-1.79"/>
    <m/>
    <n v="222.00349989999998"/>
    <x v="2"/>
    <n v="-0.37999999999999989"/>
    <n v="18"/>
    <x v="93"/>
    <n v="666"/>
  </r>
  <r>
    <n v="4"/>
    <x v="3"/>
    <x v="2"/>
    <n v="5"/>
    <n v="4"/>
    <n v="0.28000000000000025"/>
    <m/>
    <n v="0.33333333333333331"/>
    <x v="0"/>
    <n v="1.0000000000000009E-2"/>
    <n v="0"/>
    <x v="3"/>
    <n v="1"/>
  </r>
  <r>
    <n v="3"/>
    <x v="3"/>
    <x v="2"/>
    <n v="5"/>
    <n v="4"/>
    <n v="0.28000000000000025"/>
    <m/>
    <n v="6.5616797999999994"/>
    <x v="0"/>
    <n v="-0.15799999999999992"/>
    <s v="Le"/>
    <x v="8"/>
    <n v="20"/>
  </r>
  <r>
    <n v="2"/>
    <x v="3"/>
    <x v="2"/>
    <n v="5"/>
    <n v="4"/>
    <n v="0.28000000000000025"/>
    <m/>
    <n v="156.38670189999999"/>
    <x v="1"/>
    <n v="0.12799999999999989"/>
    <n v="6"/>
    <x v="94"/>
    <n v="469"/>
  </r>
  <r>
    <n v="1"/>
    <x v="3"/>
    <x v="2"/>
    <n v="5"/>
    <n v="4"/>
    <n v="0.28000000000000025"/>
    <m/>
    <n v="446.19422639999993"/>
    <x v="2"/>
    <n v="0.30000000000000027"/>
    <n v="0"/>
    <x v="95"/>
    <n v="1339"/>
  </r>
  <r>
    <n v="5"/>
    <x v="3"/>
    <x v="2"/>
    <n v="4"/>
    <n v="5"/>
    <n v="-0.17999999999999972"/>
    <m/>
    <n v="0.33333333333333331"/>
    <x v="0"/>
    <n v="1.0000000000000009E-2"/>
    <n v="0"/>
    <x v="3"/>
    <n v="1"/>
  </r>
  <r>
    <n v="4"/>
    <x v="3"/>
    <x v="2"/>
    <n v="4"/>
    <n v="5"/>
    <n v="-0.17999999999999972"/>
    <m/>
    <n v="5.4680664999999991"/>
    <x v="0"/>
    <n v="-0.21199999999999997"/>
    <s v="Hi"/>
    <x v="38"/>
    <n v="16"/>
  </r>
  <r>
    <n v="3"/>
    <x v="3"/>
    <x v="2"/>
    <n v="4"/>
    <n v="5"/>
    <n v="-0.17999999999999972"/>
    <m/>
    <n v="26.246719199999998"/>
    <x v="3"/>
    <n v="-0.20800000000000018"/>
    <n v="0"/>
    <x v="27"/>
    <n v="79"/>
  </r>
  <r>
    <n v="2"/>
    <x v="3"/>
    <x v="2"/>
    <n v="4"/>
    <n v="5"/>
    <n v="-0.17999999999999972"/>
    <m/>
    <n v="290.90113779999996"/>
    <x v="3"/>
    <n v="0.31000000000000005"/>
    <n v="24"/>
    <x v="96"/>
    <n v="873"/>
  </r>
  <r>
    <n v="1"/>
    <x v="3"/>
    <x v="2"/>
    <n v="4"/>
    <n v="5"/>
    <n v="-0.17999999999999972"/>
    <m/>
    <n v="551.18110319999994"/>
    <x v="2"/>
    <n v="-7.9999999999999627E-2"/>
    <n v="0"/>
    <x v="97"/>
    <n v="1654"/>
  </r>
  <r>
    <n v="5"/>
    <x v="3"/>
    <x v="2"/>
    <n v="3"/>
    <n v="5"/>
    <n v="-0.91999999999999993"/>
    <m/>
    <n v="2.6666666666666665"/>
    <x v="0"/>
    <n v="0.41999999999999993"/>
    <n v="0"/>
    <x v="45"/>
    <n v="8"/>
  </r>
  <r>
    <n v="4"/>
    <x v="3"/>
    <x v="2"/>
    <n v="3"/>
    <n v="5"/>
    <n v="-0.91999999999999993"/>
    <m/>
    <n v="5.4680664999999991"/>
    <x v="0"/>
    <n v="-0.62199999999999989"/>
    <s v="Lo"/>
    <x v="38"/>
    <n v="16"/>
  </r>
  <r>
    <n v="3"/>
    <x v="3"/>
    <x v="2"/>
    <n v="3"/>
    <n v="5"/>
    <n v="-0.91999999999999993"/>
    <m/>
    <n v="29.527559099999998"/>
    <x v="3"/>
    <n v="-0.20800000000000018"/>
    <n v="0"/>
    <x v="98"/>
    <n v="89"/>
  </r>
  <r>
    <n v="2"/>
    <x v="3"/>
    <x v="2"/>
    <n v="3"/>
    <n v="5"/>
    <n v="-0.91999999999999993"/>
    <m/>
    <n v="139.98250239999999"/>
    <x v="3"/>
    <n v="-0.43999999999999995"/>
    <n v="27"/>
    <x v="99"/>
    <n v="420"/>
  </r>
  <r>
    <n v="1"/>
    <x v="3"/>
    <x v="2"/>
    <n v="3"/>
    <n v="5"/>
    <n v="-0.91999999999999993"/>
    <m/>
    <n v="410.10498749999994"/>
    <x v="2"/>
    <n v="-6.999999999999984E-2"/>
    <n v="0"/>
    <x v="100"/>
    <n v="1230"/>
  </r>
  <r>
    <n v="4"/>
    <x v="3"/>
    <x v="2"/>
    <n v="2"/>
    <n v="4"/>
    <n v="0.16999999999999993"/>
    <m/>
    <n v="0.66666666666666663"/>
    <x v="0"/>
    <n v="1.0000000000000009E-2"/>
    <n v="0"/>
    <x v="10"/>
    <n v="2"/>
  </r>
  <r>
    <n v="3"/>
    <x v="3"/>
    <x v="2"/>
    <n v="2"/>
    <n v="4"/>
    <n v="0.16999999999999993"/>
    <m/>
    <n v="4.3744531999999996"/>
    <x v="0"/>
    <n v="-0.29800000000000004"/>
    <s v="Lo"/>
    <x v="36"/>
    <n v="13"/>
  </r>
  <r>
    <n v="2"/>
    <x v="3"/>
    <x v="2"/>
    <n v="2"/>
    <n v="4"/>
    <n v="0.16999999999999993"/>
    <m/>
    <n v="96.237970399999995"/>
    <x v="1"/>
    <n v="8.7999999999999856E-2"/>
    <n v="4"/>
    <x v="101"/>
    <n v="289"/>
  </r>
  <r>
    <n v="1"/>
    <x v="3"/>
    <x v="2"/>
    <n v="2"/>
    <n v="4"/>
    <n v="0.16999999999999993"/>
    <m/>
    <n v="424.32196039999997"/>
    <x v="2"/>
    <n v="0.37000000000000011"/>
    <n v="0"/>
    <x v="102"/>
    <n v="1273"/>
  </r>
  <r>
    <n v="5"/>
    <x v="3"/>
    <x v="2"/>
    <n v="1"/>
    <n v="5"/>
    <n v="-0.9115000000000002"/>
    <m/>
    <n v="0.33333333333333331"/>
    <x v="0"/>
    <n v="1.0000000000000009E-2"/>
    <n v="0"/>
    <x v="3"/>
    <n v="1"/>
  </r>
  <r>
    <n v="4"/>
    <x v="3"/>
    <x v="2"/>
    <n v="1"/>
    <n v="5"/>
    <n v="-0.9115000000000002"/>
    <m/>
    <n v="1"/>
    <x v="0"/>
    <n v="-0.97"/>
    <s v="Ri"/>
    <x v="10"/>
    <n v="3"/>
  </r>
  <r>
    <n v="3"/>
    <x v="3"/>
    <x v="2"/>
    <n v="1"/>
    <n v="5"/>
    <n v="-0.9115000000000002"/>
    <m/>
    <n v="15.310586199999999"/>
    <x v="0"/>
    <n v="6.800000000000006E-2"/>
    <s v="Ri"/>
    <x v="11"/>
    <n v="46"/>
  </r>
  <r>
    <n v="2"/>
    <x v="3"/>
    <x v="2"/>
    <n v="1"/>
    <n v="5"/>
    <n v="-0.9115000000000002"/>
    <m/>
    <n v="125.76552949999999"/>
    <x v="3"/>
    <n v="-2.8000000000000025E-2"/>
    <n v="14"/>
    <x v="103"/>
    <n v="377"/>
  </r>
  <r>
    <n v="1"/>
    <x v="3"/>
    <x v="2"/>
    <n v="1"/>
    <n v="5"/>
    <n v="-0.9115000000000002"/>
    <m/>
    <n v="400.26246779999997"/>
    <x v="2"/>
    <n v="8.49999999999973E-3"/>
    <n v="0"/>
    <x v="71"/>
    <n v="1201"/>
  </r>
  <r>
    <n v="4"/>
    <x v="4"/>
    <x v="0"/>
    <n v="18"/>
    <n v="4"/>
    <n v="8.0000000000000071E-2"/>
    <m/>
    <n v="1.3333333333333333"/>
    <x v="0"/>
    <n v="0.12999999999999989"/>
    <n v="0"/>
    <x v="10"/>
    <n v="4"/>
  </r>
  <r>
    <n v="3"/>
    <x v="4"/>
    <x v="0"/>
    <n v="18"/>
    <n v="4"/>
    <n v="8.0000000000000071E-2"/>
    <m/>
    <n v="15.310586199999999"/>
    <x v="3"/>
    <n v="0.3400000000000003"/>
    <n v="0"/>
    <x v="11"/>
    <n v="46"/>
  </r>
  <r>
    <n v="2"/>
    <x v="4"/>
    <x v="0"/>
    <n v="18"/>
    <n v="4"/>
    <n v="8.0000000000000071E-2"/>
    <m/>
    <n v="134.5144359"/>
    <x v="1"/>
    <n v="-0.56000000000000005"/>
    <n v="14"/>
    <x v="14"/>
    <n v="404"/>
  </r>
  <r>
    <n v="1"/>
    <x v="4"/>
    <x v="0"/>
    <n v="18"/>
    <n v="4"/>
    <n v="8.0000000000000071E-2"/>
    <m/>
    <n v="407.91776089999996"/>
    <x v="2"/>
    <n v="0.16999999999999993"/>
    <n v="0"/>
    <x v="2"/>
    <n v="1224"/>
  </r>
  <r>
    <n v="5"/>
    <x v="4"/>
    <x v="0"/>
    <n v="17"/>
    <n v="5"/>
    <n v="-0.17999999999999972"/>
    <m/>
    <n v="0.33333333333333331"/>
    <x v="0"/>
    <n v="1.0000000000000009E-2"/>
    <n v="0"/>
    <x v="3"/>
    <n v="1"/>
  </r>
  <r>
    <n v="4"/>
    <x v="4"/>
    <x v="0"/>
    <n v="17"/>
    <n v="5"/>
    <n v="-0.17999999999999972"/>
    <m/>
    <n v="8.7489063999999992"/>
    <x v="0"/>
    <n v="-7.0000000000000062E-2"/>
    <s v="Le"/>
    <x v="50"/>
    <n v="26"/>
  </r>
  <r>
    <n v="3"/>
    <x v="4"/>
    <x v="0"/>
    <n v="17"/>
    <n v="5"/>
    <n v="-0.17999999999999972"/>
    <m/>
    <n v="91.86351719999999"/>
    <x v="1"/>
    <n v="-0.18999999999999995"/>
    <n v="8"/>
    <x v="104"/>
    <n v="276"/>
  </r>
  <r>
    <n v="2"/>
    <x v="4"/>
    <x v="0"/>
    <n v="17"/>
    <n v="5"/>
    <n v="-0.17999999999999972"/>
    <m/>
    <n v="240.59492599999999"/>
    <x v="1"/>
    <n v="-0.16999999999999993"/>
    <n v="0"/>
    <x v="105"/>
    <n v="722"/>
  </r>
  <r>
    <n v="1"/>
    <x v="4"/>
    <x v="0"/>
    <n v="17"/>
    <n v="5"/>
    <n v="-0.17999999999999972"/>
    <m/>
    <n v="550.08748989999992"/>
    <x v="2"/>
    <n v="0.24000000000000021"/>
    <n v="0"/>
    <x v="7"/>
    <n v="1650"/>
  </r>
  <r>
    <n v="3"/>
    <x v="4"/>
    <x v="0"/>
    <n v="16"/>
    <n v="3"/>
    <n v="0.12000000000000011"/>
    <m/>
    <n v="0.33333333333333331"/>
    <x v="0"/>
    <n v="1.0000000000000009E-2"/>
    <n v="0"/>
    <x v="3"/>
    <n v="1"/>
  </r>
  <r>
    <n v="2"/>
    <x v="4"/>
    <x v="0"/>
    <n v="16"/>
    <n v="3"/>
    <n v="0.12000000000000011"/>
    <m/>
    <n v="5.4680664999999991"/>
    <x v="0"/>
    <n v="-0.21199999999999997"/>
    <s v="Le"/>
    <x v="38"/>
    <n v="16"/>
  </r>
  <r>
    <n v="1"/>
    <x v="4"/>
    <x v="0"/>
    <n v="16"/>
    <n v="3"/>
    <n v="0.12000000000000011"/>
    <m/>
    <n v="185.91426099999998"/>
    <x v="2"/>
    <n v="0.32200000000000006"/>
    <n v="5"/>
    <x v="9"/>
    <n v="558"/>
  </r>
  <r>
    <n v="4"/>
    <x v="4"/>
    <x v="0"/>
    <n v="15"/>
    <n v="4"/>
    <n v="0.69500000000000028"/>
    <m/>
    <n v="0.66666666666666663"/>
    <x v="0"/>
    <n v="1.0000000000000009E-2"/>
    <n v="0"/>
    <x v="10"/>
    <n v="2"/>
  </r>
  <r>
    <n v="3"/>
    <x v="4"/>
    <x v="0"/>
    <n v="15"/>
    <n v="4"/>
    <n v="0.69500000000000028"/>
    <m/>
    <n v="10.936132999999998"/>
    <x v="0"/>
    <n v="-1.4000000000000012E-2"/>
    <s v="Le"/>
    <x v="106"/>
    <n v="33"/>
  </r>
  <r>
    <n v="2"/>
    <x v="4"/>
    <x v="0"/>
    <n v="15"/>
    <n v="4"/>
    <n v="0.69500000000000028"/>
    <m/>
    <n v="235.12685949999997"/>
    <x v="1"/>
    <n v="0.45400000000000018"/>
    <n v="10"/>
    <x v="107"/>
    <n v="705"/>
  </r>
  <r>
    <n v="1"/>
    <x v="4"/>
    <x v="0"/>
    <n v="15"/>
    <n v="4"/>
    <n v="0.69500000000000028"/>
    <m/>
    <n v="507.43657119999995"/>
    <x v="2"/>
    <n v="0.24500000000000011"/>
    <n v="0"/>
    <x v="13"/>
    <n v="1522"/>
  </r>
  <r>
    <n v="5"/>
    <x v="4"/>
    <x v="0"/>
    <n v="14"/>
    <n v="5"/>
    <n v="-0.98000000000000043"/>
    <m/>
    <n v="0.33333333333333331"/>
    <x v="0"/>
    <n v="1.0000000000000009E-2"/>
    <n v="0"/>
    <x v="3"/>
    <n v="1"/>
  </r>
  <r>
    <n v="4"/>
    <x v="4"/>
    <x v="0"/>
    <n v="14"/>
    <n v="5"/>
    <n v="-0.98000000000000043"/>
    <m/>
    <n v="2.3333333333333335"/>
    <x v="0"/>
    <n v="-0.59000000000000008"/>
    <s v="Le"/>
    <x v="0"/>
    <n v="7"/>
  </r>
  <r>
    <n v="3"/>
    <x v="4"/>
    <x v="0"/>
    <n v="14"/>
    <n v="5"/>
    <n v="-0.98000000000000043"/>
    <m/>
    <n v="13.123359599999999"/>
    <x v="3"/>
    <n v="-8.0000000000000071E-2"/>
    <n v="0"/>
    <x v="19"/>
    <n v="39"/>
  </r>
  <r>
    <n v="2"/>
    <x v="4"/>
    <x v="0"/>
    <n v="14"/>
    <n v="5"/>
    <n v="-0.98000000000000043"/>
    <m/>
    <n v="147.63779549999998"/>
    <x v="3"/>
    <n v="-0.10999999999999988"/>
    <n v="12"/>
    <x v="108"/>
    <n v="443"/>
  </r>
  <r>
    <n v="1"/>
    <x v="4"/>
    <x v="0"/>
    <n v="14"/>
    <n v="5"/>
    <n v="-0.98000000000000043"/>
    <m/>
    <n v="387.13910819999995"/>
    <x v="2"/>
    <n v="-0.21000000000000041"/>
    <n v="0"/>
    <x v="15"/>
    <n v="1161"/>
  </r>
  <r>
    <n v="5"/>
    <x v="4"/>
    <x v="0"/>
    <n v="13"/>
    <n v="5"/>
    <n v="-0.91699999999999982"/>
    <m/>
    <n v="0.33333333333333331"/>
    <x v="0"/>
    <n v="1.0000000000000009E-2"/>
    <n v="0"/>
    <x v="3"/>
    <n v="1"/>
  </r>
  <r>
    <n v="4"/>
    <x v="4"/>
    <x v="0"/>
    <n v="13"/>
    <n v="5"/>
    <n v="-0.91699999999999982"/>
    <m/>
    <n v="1.3333333333333333"/>
    <x v="0"/>
    <n v="-0.88000000000000012"/>
    <s v="Ri"/>
    <x v="10"/>
    <n v="4"/>
  </r>
  <r>
    <n v="3"/>
    <x v="4"/>
    <x v="0"/>
    <n v="13"/>
    <n v="5"/>
    <n v="-0.91699999999999982"/>
    <m/>
    <n v="19.685039399999997"/>
    <x v="3"/>
    <n v="0.45999999999999996"/>
    <n v="0"/>
    <x v="92"/>
    <n v="59"/>
  </r>
  <r>
    <n v="2"/>
    <x v="4"/>
    <x v="0"/>
    <n v="13"/>
    <n v="5"/>
    <n v="-0.91699999999999982"/>
    <m/>
    <n v="166.22922159999999"/>
    <x v="1"/>
    <n v="-0.50999999999999979"/>
    <n v="18"/>
    <x v="48"/>
    <n v="499"/>
  </r>
  <r>
    <n v="1"/>
    <x v="4"/>
    <x v="0"/>
    <n v="13"/>
    <n v="5"/>
    <n v="-0.91699999999999982"/>
    <m/>
    <n v="399.16885449999995"/>
    <x v="2"/>
    <n v="3.0000000000001137E-3"/>
    <n v="0"/>
    <x v="18"/>
    <n v="1198"/>
  </r>
  <r>
    <n v="5"/>
    <x v="4"/>
    <x v="0"/>
    <n v="12"/>
    <n v="5"/>
    <n v="-0.83000000000000007"/>
    <m/>
    <n v="0.33333333333333331"/>
    <x v="0"/>
    <n v="1.0000000000000009E-2"/>
    <n v="0"/>
    <x v="3"/>
    <n v="1"/>
  </r>
  <r>
    <n v="4"/>
    <x v="4"/>
    <x v="0"/>
    <n v="12"/>
    <n v="5"/>
    <n v="-0.83000000000000007"/>
    <m/>
    <n v="7.6552930999999997"/>
    <x v="0"/>
    <n v="-0.1160000000000001"/>
    <s v="Ri"/>
    <x v="4"/>
    <n v="23"/>
  </r>
  <r>
    <n v="3"/>
    <x v="4"/>
    <x v="0"/>
    <n v="12"/>
    <n v="5"/>
    <n v="-0.83000000000000007"/>
    <m/>
    <n v="153.10586199999997"/>
    <x v="1"/>
    <n v="8.6000000000000076E-2"/>
    <n v="7"/>
    <x v="20"/>
    <n v="459"/>
  </r>
  <r>
    <n v="2"/>
    <x v="4"/>
    <x v="0"/>
    <n v="12"/>
    <n v="5"/>
    <n v="-0.83000000000000007"/>
    <m/>
    <n v="168.41644819999999"/>
    <x v="4"/>
    <n v="-0.58000000000000007"/>
    <n v="0"/>
    <x v="33"/>
    <n v="505"/>
  </r>
  <r>
    <n v="1"/>
    <x v="4"/>
    <x v="0"/>
    <n v="12"/>
    <n v="5"/>
    <n v="-0.83000000000000007"/>
    <m/>
    <n v="426.50918699999994"/>
    <x v="2"/>
    <n v="-0.22999999999999998"/>
    <n v="0"/>
    <x v="21"/>
    <n v="1280"/>
  </r>
  <r>
    <n v="4"/>
    <x v="4"/>
    <x v="0"/>
    <n v="11"/>
    <n v="4"/>
    <n v="-0.87999999999999989"/>
    <m/>
    <n v="0.33333333333333331"/>
    <x v="0"/>
    <n v="1.0000000000000009E-2"/>
    <n v="0"/>
    <x v="3"/>
    <n v="1"/>
  </r>
  <r>
    <n v="3"/>
    <x v="4"/>
    <x v="0"/>
    <n v="11"/>
    <n v="4"/>
    <n v="-0.87999999999999989"/>
    <m/>
    <n v="2.6666666666666665"/>
    <x v="0"/>
    <n v="-0.59000000000000008"/>
    <s v="Le"/>
    <x v="45"/>
    <n v="8"/>
  </r>
  <r>
    <n v="2"/>
    <x v="4"/>
    <x v="0"/>
    <n v="11"/>
    <n v="4"/>
    <n v="-0.87999999999999989"/>
    <m/>
    <n v="20.778652699999999"/>
    <x v="4"/>
    <n v="0.10999999999999988"/>
    <n v="0"/>
    <x v="66"/>
    <n v="62"/>
  </r>
  <r>
    <n v="1"/>
    <x v="4"/>
    <x v="0"/>
    <n v="11"/>
    <n v="4"/>
    <n v="-0.87999999999999989"/>
    <m/>
    <n v="188.10148759999998"/>
    <x v="2"/>
    <n v="-0.4099999999999997"/>
    <n v="19"/>
    <x v="17"/>
    <n v="564"/>
  </r>
  <r>
    <n v="5"/>
    <x v="4"/>
    <x v="0"/>
    <n v="10"/>
    <n v="5"/>
    <n v="-0.52500000000000036"/>
    <m/>
    <n v="0.66666666666666663"/>
    <x v="0"/>
    <n v="1.0000000000000009E-2"/>
    <n v="0"/>
    <x v="10"/>
    <n v="2"/>
  </r>
  <r>
    <n v="4"/>
    <x v="4"/>
    <x v="0"/>
    <n v="10"/>
    <n v="5"/>
    <n v="-0.52500000000000036"/>
    <m/>
    <n v="2.1872265999999998"/>
    <x v="0"/>
    <n v="-0.66999999999999993"/>
    <s v="Hi"/>
    <x v="0"/>
    <n v="7"/>
  </r>
  <r>
    <n v="3"/>
    <x v="4"/>
    <x v="0"/>
    <n v="10"/>
    <n v="5"/>
    <n v="-0.52500000000000036"/>
    <m/>
    <n v="21.872265999999996"/>
    <x v="3"/>
    <n v="0.24999999999999978"/>
    <n v="0"/>
    <x v="16"/>
    <n v="66"/>
  </r>
  <r>
    <n v="2"/>
    <x v="4"/>
    <x v="0"/>
    <n v="10"/>
    <n v="5"/>
    <n v="-0.52500000000000036"/>
    <m/>
    <n v="202.31846049999999"/>
    <x v="3"/>
    <n v="-6.0000000000000053E-2"/>
    <n v="20"/>
    <x v="109"/>
    <n v="607"/>
  </r>
  <r>
    <n v="1"/>
    <x v="4"/>
    <x v="0"/>
    <n v="10"/>
    <n v="5"/>
    <n v="-0.52500000000000036"/>
    <m/>
    <n v="477.90901209999998"/>
    <x v="2"/>
    <n v="-5.500000000000016E-2"/>
    <n v="0"/>
    <x v="26"/>
    <n v="1434"/>
  </r>
  <r>
    <n v="6"/>
    <x v="4"/>
    <x v="0"/>
    <n v="9"/>
    <n v="6"/>
    <n v="-1.21"/>
    <m/>
    <n v="0.66666666666666663"/>
    <x v="0"/>
    <n v="1.0000000000000009E-2"/>
    <n v="0"/>
    <x v="10"/>
    <n v="2"/>
  </r>
  <r>
    <n v="5"/>
    <x v="4"/>
    <x v="0"/>
    <n v="9"/>
    <n v="6"/>
    <n v="-1.21"/>
    <m/>
    <n v="21.872265999999996"/>
    <x v="1"/>
    <n v="0.3899999999999999"/>
    <n v="0"/>
    <x v="16"/>
    <n v="66"/>
  </r>
  <r>
    <n v="4"/>
    <x v="4"/>
    <x v="0"/>
    <n v="9"/>
    <n v="6"/>
    <n v="-1.21"/>
    <m/>
    <n v="43.744531999999992"/>
    <x v="1"/>
    <n v="-0.79999999999999982"/>
    <n v="0"/>
    <x v="110"/>
    <n v="131"/>
  </r>
  <r>
    <n v="3"/>
    <x v="4"/>
    <x v="0"/>
    <n v="9"/>
    <n v="6"/>
    <n v="-1.21"/>
    <m/>
    <n v="109.36133"/>
    <x v="1"/>
    <n v="-0.80000000000000027"/>
    <n v="0"/>
    <x v="111"/>
    <n v="328"/>
  </r>
  <r>
    <n v="2"/>
    <x v="4"/>
    <x v="0"/>
    <n v="9"/>
    <n v="6"/>
    <n v="-1.21"/>
    <m/>
    <n v="377.29658849999998"/>
    <x v="1"/>
    <n v="0.3100000000000005"/>
    <n v="0"/>
    <x v="35"/>
    <n v="1132"/>
  </r>
  <r>
    <n v="1"/>
    <x v="4"/>
    <x v="0"/>
    <n v="9"/>
    <n v="6"/>
    <n v="-1.21"/>
    <m/>
    <n v="530.40245049999999"/>
    <x v="2"/>
    <n v="-0.32000000000000028"/>
    <n v="0"/>
    <x v="30"/>
    <n v="1591"/>
  </r>
  <r>
    <n v="4"/>
    <x v="4"/>
    <x v="0"/>
    <n v="8"/>
    <n v="4"/>
    <n v="-0.95000000000000018"/>
    <m/>
    <n v="0.33333333333333331"/>
    <x v="0"/>
    <n v="1.0000000000000009E-2"/>
    <n v="0"/>
    <x v="3"/>
    <n v="1"/>
  </r>
  <r>
    <n v="3"/>
    <x v="4"/>
    <x v="0"/>
    <n v="8"/>
    <n v="4"/>
    <n v="-0.95000000000000018"/>
    <m/>
    <n v="1.3333333333333333"/>
    <x v="0"/>
    <n v="-0.88000000000000012"/>
    <s v="Lo"/>
    <x v="10"/>
    <n v="4"/>
  </r>
  <r>
    <n v="2"/>
    <x v="4"/>
    <x v="0"/>
    <n v="8"/>
    <n v="4"/>
    <n v="-0.95000000000000018"/>
    <m/>
    <n v="18.5914261"/>
    <x v="0"/>
    <n v="4.0000000000000036E-2"/>
    <s v="Ri"/>
    <x v="112"/>
    <n v="56"/>
  </r>
  <r>
    <n v="1"/>
    <x v="4"/>
    <x v="0"/>
    <n v="8"/>
    <n v="4"/>
    <n v="-0.95000000000000018"/>
    <m/>
    <n v="168.41644819999999"/>
    <x v="2"/>
    <n v="-0.12000000000000011"/>
    <n v="17"/>
    <x v="33"/>
    <n v="505"/>
  </r>
  <r>
    <n v="4"/>
    <x v="4"/>
    <x v="0"/>
    <n v="7"/>
    <n v="4"/>
    <n v="0.41000000000000014"/>
    <m/>
    <n v="0.33333333333333331"/>
    <x v="0"/>
    <n v="1.0000000000000009E-2"/>
    <n v="0"/>
    <x v="3"/>
    <n v="1"/>
  </r>
  <r>
    <n v="3"/>
    <x v="4"/>
    <x v="0"/>
    <n v="7"/>
    <n v="4"/>
    <n v="0.41000000000000014"/>
    <m/>
    <n v="6.5616797999999994"/>
    <x v="0"/>
    <n v="-0.15799999999999992"/>
    <s v="Ri"/>
    <x v="8"/>
    <n v="20"/>
  </r>
  <r>
    <n v="2"/>
    <x v="4"/>
    <x v="0"/>
    <n v="7"/>
    <n v="4"/>
    <n v="0.41000000000000014"/>
    <m/>
    <n v="190.28871419999999"/>
    <x v="1"/>
    <n v="0.33799999999999986"/>
    <n v="6"/>
    <x v="83"/>
    <n v="571"/>
  </r>
  <r>
    <n v="1"/>
    <x v="4"/>
    <x v="0"/>
    <n v="7"/>
    <n v="4"/>
    <n v="0.41000000000000014"/>
    <m/>
    <n v="460.41119929999996"/>
    <x v="2"/>
    <n v="0.2200000000000002"/>
    <n v="0"/>
    <x v="34"/>
    <n v="1381"/>
  </r>
  <r>
    <n v="5"/>
    <x v="4"/>
    <x v="0"/>
    <n v="6"/>
    <n v="5"/>
    <n v="-0.99500000000000011"/>
    <m/>
    <n v="0.33333333333333331"/>
    <x v="0"/>
    <n v="1.0000000000000009E-2"/>
    <n v="0"/>
    <x v="3"/>
    <n v="1"/>
  </r>
  <r>
    <n v="4"/>
    <x v="4"/>
    <x v="0"/>
    <n v="6"/>
    <n v="5"/>
    <n v="-0.99500000000000011"/>
    <m/>
    <n v="4.3744531999999996"/>
    <x v="0"/>
    <n v="-0.29800000000000004"/>
    <s v="Le"/>
    <x v="36"/>
    <n v="13"/>
  </r>
  <r>
    <n v="3"/>
    <x v="4"/>
    <x v="0"/>
    <n v="6"/>
    <n v="5"/>
    <n v="-0.99500000000000011"/>
    <m/>
    <n v="20.778652699999999"/>
    <x v="0"/>
    <n v="-0.48799999999999977"/>
    <s v="Le"/>
    <x v="66"/>
    <n v="62"/>
  </r>
  <r>
    <n v="2"/>
    <x v="4"/>
    <x v="0"/>
    <n v="6"/>
    <n v="5"/>
    <n v="-0.99500000000000011"/>
    <m/>
    <n v="157.48031519999998"/>
    <x v="1"/>
    <n v="-0.24400000000000022"/>
    <n v="19"/>
    <x v="87"/>
    <n v="472"/>
  </r>
  <r>
    <n v="1"/>
    <x v="4"/>
    <x v="0"/>
    <n v="6"/>
    <n v="5"/>
    <n v="-0.99500000000000011"/>
    <m/>
    <n v="377.29658849999998"/>
    <x v="2"/>
    <n v="2.4999999999999911E-2"/>
    <n v="0"/>
    <x v="35"/>
    <n v="1132"/>
  </r>
  <r>
    <n v="4"/>
    <x v="4"/>
    <x v="0"/>
    <n v="5"/>
    <n v="4"/>
    <n v="-8.0000000000000071E-2"/>
    <m/>
    <n v="2.6666666666666665"/>
    <x v="0"/>
    <n v="0.41999999999999993"/>
    <n v="0"/>
    <x v="45"/>
    <n v="8"/>
  </r>
  <r>
    <n v="3"/>
    <x v="4"/>
    <x v="0"/>
    <n v="5"/>
    <n v="4"/>
    <n v="-8.0000000000000071E-2"/>
    <m/>
    <n v="13.123359599999999"/>
    <x v="1"/>
    <n v="-0.23999999999999977"/>
    <n v="0"/>
    <x v="19"/>
    <n v="39"/>
  </r>
  <r>
    <n v="2"/>
    <x v="4"/>
    <x v="0"/>
    <n v="5"/>
    <n v="4"/>
    <n v="-8.0000000000000071E-2"/>
    <m/>
    <n v="119.20384969999999"/>
    <x v="1"/>
    <n v="-0.33000000000000007"/>
    <n v="12"/>
    <x v="113"/>
    <n v="358"/>
  </r>
  <r>
    <n v="1"/>
    <x v="4"/>
    <x v="0"/>
    <n v="5"/>
    <n v="4"/>
    <n v="-8.0000000000000071E-2"/>
    <m/>
    <n v="334.64566979999995"/>
    <x v="2"/>
    <n v="6.999999999999984E-2"/>
    <n v="0"/>
    <x v="37"/>
    <n v="1004"/>
  </r>
  <r>
    <n v="5"/>
    <x v="4"/>
    <x v="0"/>
    <n v="4"/>
    <n v="5"/>
    <n v="-0.17999999999999972"/>
    <m/>
    <n v="8.7489063999999992"/>
    <x v="1"/>
    <n v="1.0299999999999998"/>
    <n v="0"/>
    <x v="50"/>
    <n v="26"/>
  </r>
  <r>
    <n v="4"/>
    <x v="4"/>
    <x v="0"/>
    <n v="4"/>
    <n v="5"/>
    <n v="-0.17999999999999972"/>
    <m/>
    <n v="19.685039399999997"/>
    <x v="3"/>
    <n v="-0.43999999999999995"/>
    <n v="0"/>
    <x v="92"/>
    <n v="59"/>
  </r>
  <r>
    <n v="3"/>
    <x v="4"/>
    <x v="0"/>
    <n v="4"/>
    <n v="5"/>
    <n v="-0.17999999999999972"/>
    <m/>
    <n v="43.744531999999992"/>
    <x v="3"/>
    <n v="-0.81"/>
    <n v="0"/>
    <x v="110"/>
    <n v="131"/>
  </r>
  <r>
    <n v="2"/>
    <x v="4"/>
    <x v="0"/>
    <n v="4"/>
    <n v="5"/>
    <n v="-0.17999999999999972"/>
    <m/>
    <n v="275.59055159999997"/>
    <x v="1"/>
    <n v="0"/>
    <n v="0"/>
    <x v="114"/>
    <n v="827"/>
  </r>
  <r>
    <n v="1"/>
    <x v="4"/>
    <x v="0"/>
    <n v="4"/>
    <n v="5"/>
    <n v="-0.17999999999999972"/>
    <m/>
    <n v="577.42782239999997"/>
    <x v="2"/>
    <n v="4.000000000000048E-2"/>
    <n v="0"/>
    <x v="41"/>
    <n v="1732"/>
  </r>
  <r>
    <n v="4"/>
    <x v="4"/>
    <x v="0"/>
    <n v="3"/>
    <n v="4"/>
    <n v="-0.79"/>
    <m/>
    <n v="0.33333333333333331"/>
    <x v="0"/>
    <n v="1.0000000000000009E-2"/>
    <n v="0"/>
    <x v="3"/>
    <n v="1"/>
  </r>
  <r>
    <n v="3"/>
    <x v="4"/>
    <x v="0"/>
    <n v="3"/>
    <n v="4"/>
    <n v="-0.79"/>
    <m/>
    <n v="9.8425196999999987"/>
    <x v="0"/>
    <n v="-4.0000000000000036E-2"/>
    <s v="Le"/>
    <x v="31"/>
    <n v="30"/>
  </r>
  <r>
    <n v="2"/>
    <x v="4"/>
    <x v="0"/>
    <n v="3"/>
    <n v="4"/>
    <n v="-0.79"/>
    <m/>
    <n v="18.5914261"/>
    <x v="1"/>
    <n v="-0.57000000000000006"/>
    <n v="0"/>
    <x v="112"/>
    <n v="56"/>
  </r>
  <r>
    <n v="1"/>
    <x v="4"/>
    <x v="0"/>
    <n v="3"/>
    <n v="4"/>
    <n v="-0.79"/>
    <m/>
    <n v="220.90988659999999"/>
    <x v="2"/>
    <n v="-0.18999999999999995"/>
    <n v="17"/>
    <x v="115"/>
    <n v="663"/>
  </r>
  <r>
    <n v="4"/>
    <x v="4"/>
    <x v="0"/>
    <n v="2"/>
    <n v="4"/>
    <n v="-0.18900000000000006"/>
    <m/>
    <n v="0.33333333333333331"/>
    <x v="0"/>
    <n v="1.0000000000000009E-2"/>
    <n v="0"/>
    <x v="3"/>
    <n v="1"/>
  </r>
  <r>
    <n v="3"/>
    <x v="4"/>
    <x v="0"/>
    <n v="2"/>
    <n v="4"/>
    <n v="-0.18900000000000006"/>
    <m/>
    <n v="2.1872265999999998"/>
    <x v="0"/>
    <n v="-0.66999999999999993"/>
    <s v="Le"/>
    <x v="0"/>
    <n v="7"/>
  </r>
  <r>
    <n v="2"/>
    <x v="4"/>
    <x v="0"/>
    <n v="2"/>
    <n v="4"/>
    <n v="-0.18900000000000006"/>
    <m/>
    <n v="9.8425196999999987"/>
    <x v="0"/>
    <n v="-0.37000000000000011"/>
    <s v="Ri"/>
    <x v="31"/>
    <n v="30"/>
  </r>
  <r>
    <n v="1"/>
    <x v="4"/>
    <x v="0"/>
    <n v="2"/>
    <n v="4"/>
    <n v="-0.18900000000000006"/>
    <m/>
    <n v="300.74365749999998"/>
    <x v="2"/>
    <n v="0.84099999999999997"/>
    <n v="0"/>
    <x v="44"/>
    <n v="902"/>
  </r>
  <r>
    <n v="4"/>
    <x v="4"/>
    <x v="0"/>
    <n v="1"/>
    <n v="4"/>
    <n v="8.0000000000000071E-2"/>
    <m/>
    <n v="1"/>
    <x v="0"/>
    <n v="4.0000000000000036E-2"/>
    <n v="0"/>
    <x v="10"/>
    <n v="3"/>
  </r>
  <r>
    <n v="3"/>
    <x v="4"/>
    <x v="0"/>
    <n v="1"/>
    <n v="4"/>
    <n v="8.0000000000000071E-2"/>
    <m/>
    <n v="3.6666666666666665"/>
    <x v="0"/>
    <n v="-0.42999999999999994"/>
    <s v="Lo"/>
    <x v="36"/>
    <n v="11"/>
  </r>
  <r>
    <n v="2"/>
    <x v="4"/>
    <x v="0"/>
    <n v="1"/>
    <n v="4"/>
    <n v="8.0000000000000071E-2"/>
    <m/>
    <n v="168.41644819999999"/>
    <x v="1"/>
    <n v="0.47"/>
    <n v="3"/>
    <x v="33"/>
    <n v="505"/>
  </r>
  <r>
    <n v="1"/>
    <x v="4"/>
    <x v="0"/>
    <n v="1"/>
    <n v="4"/>
    <n v="8.0000000000000071E-2"/>
    <m/>
    <n v="419.94750719999996"/>
    <x v="2"/>
    <n v="0"/>
    <n v="0"/>
    <x v="47"/>
    <n v="1260"/>
  </r>
  <r>
    <n v="5"/>
    <x v="5"/>
    <x v="3"/>
    <n v="18"/>
    <n v="5"/>
    <n v="-0.17999999999999972"/>
    <m/>
    <n v="0.66666666666666663"/>
    <x v="0"/>
    <n v="1.0000000000000009E-2"/>
    <n v="0"/>
    <x v="10"/>
    <n v="2"/>
  </r>
  <r>
    <n v="4"/>
    <x v="5"/>
    <x v="3"/>
    <n v="18"/>
    <n v="5"/>
    <n v="-0.17999999999999972"/>
    <m/>
    <n v="8.7489063999999992"/>
    <x v="0"/>
    <n v="-7.0000000000000062E-2"/>
    <s v="Hi"/>
    <x v="50"/>
    <n v="26"/>
  </r>
  <r>
    <n v="3"/>
    <x v="5"/>
    <x v="3"/>
    <n v="18"/>
    <n v="5"/>
    <n v="-0.17999999999999972"/>
    <m/>
    <n v="40.463692099999996"/>
    <x v="3"/>
    <n v="-0.16000000000000014"/>
    <n v="8"/>
    <x v="116"/>
    <n v="121"/>
  </r>
  <r>
    <n v="2"/>
    <x v="5"/>
    <x v="3"/>
    <n v="18"/>
    <n v="5"/>
    <n v="-0.17999999999999972"/>
    <m/>
    <n v="258.09273879999995"/>
    <x v="1"/>
    <n v="-8.9999999999999858E-2"/>
    <n v="36"/>
    <x v="117"/>
    <n v="774"/>
  </r>
  <r>
    <n v="1"/>
    <x v="5"/>
    <x v="3"/>
    <n v="18"/>
    <n v="5"/>
    <n v="-0.17999999999999972"/>
    <m/>
    <n v="566.49168939999993"/>
    <x v="2"/>
    <n v="0.13000000000000034"/>
    <n v="0"/>
    <x v="118"/>
    <n v="1699"/>
  </r>
  <r>
    <n v="3"/>
    <x v="5"/>
    <x v="3"/>
    <n v="17"/>
    <n v="3"/>
    <n v="8.4999999999999964E-2"/>
    <m/>
    <n v="1.3333333333333333"/>
    <x v="0"/>
    <n v="0.12999999999999989"/>
    <n v="0"/>
    <x v="10"/>
    <n v="4"/>
  </r>
  <r>
    <n v="2"/>
    <x v="5"/>
    <x v="3"/>
    <n v="17"/>
    <n v="3"/>
    <n v="8.4999999999999964E-2"/>
    <m/>
    <n v="27.340332499999999"/>
    <x v="3"/>
    <n v="0.45999999999999996"/>
    <n v="0"/>
    <x v="86"/>
    <n v="82"/>
  </r>
  <r>
    <n v="1"/>
    <x v="5"/>
    <x v="3"/>
    <n v="17"/>
    <n v="3"/>
    <n v="8.4999999999999964E-2"/>
    <m/>
    <n v="174.97812799999997"/>
    <x v="2"/>
    <n v="-0.50499999999999989"/>
    <n v="25"/>
    <x v="119"/>
    <n v="525"/>
  </r>
  <r>
    <n v="3"/>
    <x v="5"/>
    <x v="3"/>
    <n v="16"/>
    <n v="3"/>
    <n v="0.89000000000000012"/>
    <m/>
    <n v="5.4680664999999991"/>
    <x v="0"/>
    <n v="0.79800000000000004"/>
    <n v="0"/>
    <x v="38"/>
    <n v="16"/>
  </r>
  <r>
    <n v="2"/>
    <x v="5"/>
    <x v="3"/>
    <n v="16"/>
    <n v="3"/>
    <n v="0.89000000000000012"/>
    <m/>
    <n v="34.995625599999997"/>
    <x v="3"/>
    <n v="-0.20800000000000018"/>
    <n v="0"/>
    <x v="120"/>
    <n v="105"/>
  </r>
  <r>
    <n v="1"/>
    <x v="5"/>
    <x v="3"/>
    <n v="16"/>
    <n v="3"/>
    <n v="0.89000000000000012"/>
    <m/>
    <n v="322.61592349999995"/>
    <x v="2"/>
    <n v="0.30000000000000027"/>
    <n v="0"/>
    <x v="121"/>
    <n v="968"/>
  </r>
  <r>
    <n v="4"/>
    <x v="5"/>
    <x v="3"/>
    <n v="15"/>
    <n v="4"/>
    <n v="-6.0000000000000053E-2"/>
    <m/>
    <n v="1"/>
    <x v="0"/>
    <n v="4.0000000000000036E-2"/>
    <n v="0"/>
    <x v="10"/>
    <n v="3"/>
  </r>
  <r>
    <n v="3"/>
    <x v="5"/>
    <x v="3"/>
    <n v="15"/>
    <n v="4"/>
    <n v="-6.0000000000000053E-2"/>
    <m/>
    <n v="15.310586199999999"/>
    <x v="3"/>
    <n v="0.43000000000000016"/>
    <n v="0"/>
    <x v="11"/>
    <n v="46"/>
  </r>
  <r>
    <n v="2"/>
    <x v="5"/>
    <x v="3"/>
    <n v="15"/>
    <n v="4"/>
    <n v="-6.0000000000000053E-2"/>
    <m/>
    <n v="118.11023639999999"/>
    <x v="1"/>
    <n v="-0.62000000000000011"/>
    <n v="14"/>
    <x v="122"/>
    <n v="354"/>
  </r>
  <r>
    <n v="1"/>
    <x v="5"/>
    <x v="3"/>
    <n v="15"/>
    <n v="4"/>
    <n v="-6.0000000000000053E-2"/>
    <m/>
    <n v="344.48818949999998"/>
    <x v="2"/>
    <n v="8.9999999999999858E-2"/>
    <n v="0"/>
    <x v="53"/>
    <n v="1033"/>
  </r>
  <r>
    <n v="3"/>
    <x v="5"/>
    <x v="3"/>
    <n v="14"/>
    <n v="3"/>
    <n v="4.9999999999999822E-2"/>
    <m/>
    <n v="1.6666666666666667"/>
    <x v="0"/>
    <n v="0.12999999999999989"/>
    <n v="0"/>
    <x v="0"/>
    <n v="5"/>
  </r>
  <r>
    <n v="2"/>
    <x v="5"/>
    <x v="3"/>
    <n v="14"/>
    <n v="3"/>
    <n v="4.9999999999999822E-2"/>
    <m/>
    <n v="21.872265999999996"/>
    <x v="1"/>
    <n v="0.27"/>
    <n v="0"/>
    <x v="16"/>
    <n v="66"/>
  </r>
  <r>
    <n v="1"/>
    <x v="5"/>
    <x v="3"/>
    <n v="14"/>
    <n v="3"/>
    <n v="4.9999999999999822E-2"/>
    <m/>
    <n v="170.60367479999999"/>
    <x v="2"/>
    <n v="-0.35000000000000009"/>
    <n v="20"/>
    <x v="123"/>
    <n v="512"/>
  </r>
  <r>
    <n v="5"/>
    <x v="5"/>
    <x v="3"/>
    <n v="13"/>
    <n v="5"/>
    <n v="-0.91999999999999993"/>
    <m/>
    <n v="0.33333333333333331"/>
    <x v="0"/>
    <n v="1.0000000000000009E-2"/>
    <n v="0"/>
    <x v="3"/>
    <n v="1"/>
  </r>
  <r>
    <n v="4"/>
    <x v="5"/>
    <x v="3"/>
    <n v="13"/>
    <n v="5"/>
    <n v="-0.91999999999999993"/>
    <m/>
    <n v="2.6666666666666665"/>
    <x v="0"/>
    <n v="-0.59000000000000008"/>
    <s v="Ri"/>
    <x v="45"/>
    <n v="8"/>
  </r>
  <r>
    <n v="3"/>
    <x v="5"/>
    <x v="3"/>
    <n v="13"/>
    <n v="5"/>
    <n v="-0.91999999999999993"/>
    <m/>
    <n v="13.123359599999999"/>
    <x v="3"/>
    <n v="-8.0000000000000071E-2"/>
    <n v="0"/>
    <x v="19"/>
    <n v="39"/>
  </r>
  <r>
    <n v="2"/>
    <x v="5"/>
    <x v="3"/>
    <n v="13"/>
    <n v="5"/>
    <n v="-0.91999999999999993"/>
    <m/>
    <n v="181.53980779999998"/>
    <x v="1"/>
    <n v="-0.25999999999999979"/>
    <n v="12"/>
    <x v="124"/>
    <n v="545"/>
  </r>
  <r>
    <n v="1"/>
    <x v="5"/>
    <x v="3"/>
    <n v="13"/>
    <n v="5"/>
    <n v="-0.91999999999999993"/>
    <m/>
    <n v="402.44969439999994"/>
    <x v="2"/>
    <n v="0"/>
    <n v="0"/>
    <x v="125"/>
    <n v="1207"/>
  </r>
  <r>
    <n v="7"/>
    <x v="5"/>
    <x v="3"/>
    <n v="12"/>
    <n v="7"/>
    <n v="-2.1799999999999997"/>
    <m/>
    <n v="1.3333333333333333"/>
    <x v="0"/>
    <n v="0.12999999999999989"/>
    <n v="0"/>
    <x v="10"/>
    <n v="4"/>
  </r>
  <r>
    <n v="6"/>
    <x v="5"/>
    <x v="3"/>
    <n v="12"/>
    <n v="7"/>
    <n v="-2.1799999999999997"/>
    <m/>
    <n v="6.5616797999999994"/>
    <x v="0"/>
    <n v="-0.2779999999999998"/>
    <s v="Hi"/>
    <x v="8"/>
    <n v="20"/>
  </r>
  <r>
    <n v="5"/>
    <x v="5"/>
    <x v="3"/>
    <n v="12"/>
    <n v="7"/>
    <n v="-2.1799999999999997"/>
    <m/>
    <n v="76.552930999999987"/>
    <x v="1"/>
    <n v="-0.10200000000000009"/>
    <n v="6"/>
    <x v="126"/>
    <n v="230"/>
  </r>
  <r>
    <n v="4"/>
    <x v="5"/>
    <x v="3"/>
    <n v="12"/>
    <n v="7"/>
    <n v="-2.1799999999999997"/>
    <m/>
    <n v="328.08398999999997"/>
    <x v="3"/>
    <n v="0.26999999999999957"/>
    <n v="0"/>
    <x v="59"/>
    <n v="984"/>
  </r>
  <r>
    <n v="3"/>
    <x v="5"/>
    <x v="3"/>
    <n v="12"/>
    <n v="7"/>
    <n v="-2.1799999999999997"/>
    <m/>
    <n v="328.08398999999997"/>
    <x v="5"/>
    <n v="-0.57999999999999918"/>
    <n v="0"/>
    <x v="59"/>
    <n v="984"/>
  </r>
  <r>
    <n v="2"/>
    <x v="5"/>
    <x v="3"/>
    <n v="12"/>
    <n v="7"/>
    <n v="-2.1799999999999997"/>
    <m/>
    <n v="328.08398999999997"/>
    <x v="5"/>
    <n v="-1"/>
    <n v="0"/>
    <x v="59"/>
    <n v="984"/>
  </r>
  <r>
    <n v="1"/>
    <x v="5"/>
    <x v="3"/>
    <n v="12"/>
    <n v="7"/>
    <n v="-2.1799999999999997"/>
    <m/>
    <n v="575.24059579999994"/>
    <x v="2"/>
    <n v="-0.62000000000000011"/>
    <n v="0"/>
    <x v="127"/>
    <n v="1726"/>
  </r>
  <r>
    <n v="4"/>
    <x v="5"/>
    <x v="3"/>
    <n v="11"/>
    <n v="4"/>
    <n v="-6.0000000000000053E-2"/>
    <m/>
    <n v="0.33333333333333331"/>
    <x v="0"/>
    <n v="1.0000000000000009E-2"/>
    <n v="0"/>
    <x v="3"/>
    <n v="1"/>
  </r>
  <r>
    <n v="3"/>
    <x v="5"/>
    <x v="3"/>
    <n v="11"/>
    <n v="4"/>
    <n v="-6.0000000000000053E-2"/>
    <m/>
    <n v="4.3744531999999996"/>
    <x v="0"/>
    <n v="-0.29800000000000004"/>
    <s v="Lo"/>
    <x v="36"/>
    <n v="13"/>
  </r>
  <r>
    <n v="2"/>
    <x v="5"/>
    <x v="3"/>
    <n v="11"/>
    <n v="4"/>
    <n v="-6.0000000000000053E-2"/>
    <m/>
    <n v="113.73578319999999"/>
    <x v="1"/>
    <n v="0.13800000000000012"/>
    <n v="4"/>
    <x v="128"/>
    <n v="341"/>
  </r>
  <r>
    <n v="1"/>
    <x v="5"/>
    <x v="3"/>
    <n v="11"/>
    <n v="4"/>
    <n v="-6.0000000000000053E-2"/>
    <m/>
    <n v="352.14348259999997"/>
    <x v="2"/>
    <n v="8.9999999999999858E-2"/>
    <n v="0"/>
    <x v="129"/>
    <n v="1056"/>
  </r>
  <r>
    <n v="4"/>
    <x v="5"/>
    <x v="3"/>
    <n v="10"/>
    <n v="4"/>
    <n v="0.22499999999999964"/>
    <m/>
    <n v="2.3333333333333335"/>
    <x v="0"/>
    <n v="0.41999999999999993"/>
    <n v="0"/>
    <x v="0"/>
    <n v="7"/>
  </r>
  <r>
    <n v="3"/>
    <x v="5"/>
    <x v="3"/>
    <n v="10"/>
    <n v="4"/>
    <n v="0.22499999999999964"/>
    <m/>
    <n v="17.497812799999998"/>
    <x v="0"/>
    <n v="-0.26799999999999979"/>
    <s v="Lo"/>
    <x v="130"/>
    <n v="52"/>
  </r>
  <r>
    <n v="2"/>
    <x v="5"/>
    <x v="3"/>
    <n v="10"/>
    <n v="4"/>
    <n v="0.22499999999999964"/>
    <m/>
    <n v="174.97812799999997"/>
    <x v="1"/>
    <n v="-7.2000000000000064E-2"/>
    <n v="16"/>
    <x v="119"/>
    <n v="525"/>
  </r>
  <r>
    <n v="1"/>
    <x v="5"/>
    <x v="3"/>
    <n v="10"/>
    <n v="4"/>
    <n v="0.22499999999999964"/>
    <m/>
    <n v="438.53893329999994"/>
    <x v="2"/>
    <n v="0.14499999999999957"/>
    <n v="0"/>
    <x v="131"/>
    <n v="1316"/>
  </r>
  <r>
    <n v="6"/>
    <x v="5"/>
    <x v="3"/>
    <n v="9"/>
    <n v="6"/>
    <n v="-1.21"/>
    <m/>
    <n v="0.33333333333333331"/>
    <x v="0"/>
    <n v="1.0000000000000009E-2"/>
    <n v="0"/>
    <x v="3"/>
    <n v="1"/>
  </r>
  <r>
    <n v="5"/>
    <x v="5"/>
    <x v="3"/>
    <n v="9"/>
    <n v="6"/>
    <n v="-1.21"/>
    <m/>
    <n v="6.5616797999999994"/>
    <x v="0"/>
    <n v="-0.15799999999999992"/>
    <s v="Lo"/>
    <x v="8"/>
    <n v="20"/>
  </r>
  <r>
    <n v="4"/>
    <x v="5"/>
    <x v="3"/>
    <n v="9"/>
    <n v="6"/>
    <n v="-1.21"/>
    <m/>
    <n v="54.680664999999998"/>
    <x v="3"/>
    <n v="-7.2000000000000286E-2"/>
    <n v="6"/>
    <x v="132"/>
    <n v="164"/>
  </r>
  <r>
    <n v="2"/>
    <x v="5"/>
    <x v="3"/>
    <n v="9"/>
    <n v="6"/>
    <n v="-1.21"/>
    <m/>
    <n v="284.33945799999998"/>
    <x v="5"/>
    <n v="-0.63999999999999968"/>
    <n v="0"/>
    <x v="40"/>
    <n v="853"/>
  </r>
  <r>
    <n v="3"/>
    <x v="5"/>
    <x v="3"/>
    <n v="9"/>
    <n v="6"/>
    <n v="-1.21"/>
    <m/>
    <n v="295.27559099999996"/>
    <x v="1"/>
    <n v="6.0000000000000053E-2"/>
    <n v="0"/>
    <x v="133"/>
    <n v="886"/>
  </r>
  <r>
    <n v="1"/>
    <x v="5"/>
    <x v="3"/>
    <n v="9"/>
    <n v="6"/>
    <n v="-1.21"/>
    <m/>
    <n v="542.43219679999993"/>
    <x v="2"/>
    <n v="-0.41000000000000014"/>
    <n v="0"/>
    <x v="134"/>
    <n v="1627"/>
  </r>
  <r>
    <n v="3"/>
    <x v="5"/>
    <x v="3"/>
    <n v="8"/>
    <n v="3"/>
    <n v="-9.9999999999997868E-3"/>
    <m/>
    <n v="0.33333333333333331"/>
    <x v="0"/>
    <n v="1.0000000000000009E-2"/>
    <n v="0"/>
    <x v="3"/>
    <n v="1"/>
  </r>
  <r>
    <n v="2"/>
    <x v="5"/>
    <x v="3"/>
    <n v="8"/>
    <n v="3"/>
    <n v="-9.9999999999997868E-3"/>
    <m/>
    <n v="6.5616797999999994"/>
    <x v="0"/>
    <n v="-0.15799999999999992"/>
    <s v="Hi"/>
    <x v="8"/>
    <n v="20"/>
  </r>
  <r>
    <n v="1"/>
    <x v="5"/>
    <x v="3"/>
    <n v="8"/>
    <n v="3"/>
    <n v="-9.9999999999997868E-3"/>
    <m/>
    <n v="153.10586199999997"/>
    <x v="2"/>
    <n v="0.13800000000000012"/>
    <n v="0"/>
    <x v="20"/>
    <n v="459"/>
  </r>
  <r>
    <n v="4"/>
    <x v="5"/>
    <x v="3"/>
    <n v="7"/>
    <n v="4"/>
    <n v="8.0000000000000071E-2"/>
    <m/>
    <n v="1"/>
    <x v="0"/>
    <n v="4.0000000000000036E-2"/>
    <n v="0"/>
    <x v="10"/>
    <n v="3"/>
  </r>
  <r>
    <n v="3"/>
    <x v="5"/>
    <x v="3"/>
    <n v="7"/>
    <n v="4"/>
    <n v="8.0000000000000071E-2"/>
    <m/>
    <n v="10.936132999999998"/>
    <x v="0"/>
    <n v="-4.4000000000000039E-2"/>
    <s v="Lo"/>
    <x v="106"/>
    <n v="33"/>
  </r>
  <r>
    <n v="2"/>
    <x v="5"/>
    <x v="3"/>
    <n v="7"/>
    <n v="4"/>
    <n v="8.0000000000000071E-2"/>
    <m/>
    <n v="124.67191619999998"/>
    <x v="1"/>
    <n v="-0.14599999999999991"/>
    <n v="10"/>
    <x v="135"/>
    <n v="374"/>
  </r>
  <r>
    <n v="1"/>
    <x v="5"/>
    <x v="3"/>
    <n v="7"/>
    <n v="4"/>
    <n v="8.0000000000000071E-2"/>
    <m/>
    <n v="410.10498749999994"/>
    <x v="2"/>
    <n v="0.22999999999999998"/>
    <n v="0"/>
    <x v="100"/>
    <n v="1230"/>
  </r>
  <r>
    <n v="5"/>
    <x v="5"/>
    <x v="3"/>
    <n v="6"/>
    <n v="5"/>
    <n v="-0.99500000000000011"/>
    <m/>
    <n v="0.66666666666666663"/>
    <x v="0"/>
    <n v="1.0000000000000009E-2"/>
    <n v="0"/>
    <x v="10"/>
    <n v="2"/>
  </r>
  <r>
    <n v="4"/>
    <x v="5"/>
    <x v="3"/>
    <n v="6"/>
    <n v="5"/>
    <n v="-0.99500000000000011"/>
    <m/>
    <n v="2"/>
    <x v="0"/>
    <n v="-0.66999999999999993"/>
    <s v="Ri"/>
    <x v="0"/>
    <n v="6"/>
  </r>
  <r>
    <n v="3"/>
    <x v="5"/>
    <x v="3"/>
    <n v="6"/>
    <n v="5"/>
    <n v="-0.99500000000000011"/>
    <m/>
    <n v="12.029746299999999"/>
    <x v="0"/>
    <n v="-0.31200000000000006"/>
    <s v="Lo"/>
    <x v="22"/>
    <n v="36"/>
  </r>
  <r>
    <n v="2"/>
    <x v="5"/>
    <x v="3"/>
    <n v="6"/>
    <n v="5"/>
    <n v="-0.99500000000000011"/>
    <m/>
    <n v="131.23359599999998"/>
    <x v="1"/>
    <n v="-0.11799999999999988"/>
    <n v="11"/>
    <x v="136"/>
    <n v="394"/>
  </r>
  <r>
    <n v="1"/>
    <x v="5"/>
    <x v="3"/>
    <n v="6"/>
    <n v="5"/>
    <n v="-0.99500000000000011"/>
    <m/>
    <n v="382.76465499999995"/>
    <x v="2"/>
    <n v="9.4999999999999751E-2"/>
    <n v="0"/>
    <x v="137"/>
    <n v="1148"/>
  </r>
  <r>
    <n v="4"/>
    <x v="5"/>
    <x v="3"/>
    <n v="5"/>
    <n v="4"/>
    <n v="-0.87999999999999989"/>
    <m/>
    <n v="0.66666666666666663"/>
    <x v="0"/>
    <n v="1.0000000000000009E-2"/>
    <n v="0"/>
    <x v="10"/>
    <n v="2"/>
  </r>
  <r>
    <n v="3"/>
    <x v="5"/>
    <x v="3"/>
    <n v="5"/>
    <n v="4"/>
    <n v="-0.87999999999999989"/>
    <m/>
    <n v="15.310586199999999"/>
    <x v="3"/>
    <n v="0.46000000000000019"/>
    <n v="0"/>
    <x v="11"/>
    <n v="46"/>
  </r>
  <r>
    <n v="2"/>
    <x v="5"/>
    <x v="3"/>
    <n v="5"/>
    <n v="4"/>
    <n v="-0.87999999999999989"/>
    <m/>
    <n v="21.872265999999996"/>
    <x v="3"/>
    <n v="-0.88000000000000034"/>
    <n v="0"/>
    <x v="16"/>
    <n v="66"/>
  </r>
  <r>
    <n v="1"/>
    <x v="5"/>
    <x v="3"/>
    <n v="5"/>
    <n v="4"/>
    <n v="-0.87999999999999989"/>
    <m/>
    <n v="190.28871419999999"/>
    <x v="2"/>
    <n v="-0.46999999999999975"/>
    <n v="20"/>
    <x v="83"/>
    <n v="571"/>
  </r>
  <r>
    <n v="4"/>
    <x v="5"/>
    <x v="3"/>
    <n v="4"/>
    <n v="4"/>
    <n v="0.16999999999999993"/>
    <m/>
    <n v="1"/>
    <x v="0"/>
    <n v="4.0000000000000036E-2"/>
    <n v="0"/>
    <x v="10"/>
    <n v="3"/>
  </r>
  <r>
    <n v="3"/>
    <x v="5"/>
    <x v="3"/>
    <n v="4"/>
    <n v="4"/>
    <n v="0.16999999999999993"/>
    <m/>
    <n v="18.5914261"/>
    <x v="3"/>
    <n v="0.54999999999999982"/>
    <n v="1"/>
    <x v="112"/>
    <n v="56"/>
  </r>
  <r>
    <n v="2"/>
    <x v="5"/>
    <x v="3"/>
    <n v="4"/>
    <n v="4"/>
    <n v="0.16999999999999993"/>
    <m/>
    <n v="196.85039399999999"/>
    <x v="1"/>
    <n v="-0.39999999999999991"/>
    <n v="17"/>
    <x v="138"/>
    <n v="591"/>
  </r>
  <r>
    <n v="1"/>
    <x v="5"/>
    <x v="3"/>
    <n v="4"/>
    <n v="4"/>
    <n v="0.16999999999999993"/>
    <m/>
    <n v="421.04112049999998"/>
    <x v="2"/>
    <n v="-2.0000000000000018E-2"/>
    <n v="0"/>
    <x v="139"/>
    <n v="1263"/>
  </r>
  <r>
    <n v="6"/>
    <x v="5"/>
    <x v="3"/>
    <n v="3"/>
    <n v="6"/>
    <n v="-1.1799999999999997"/>
    <m/>
    <n v="0.66666666666666663"/>
    <x v="0"/>
    <n v="1.0000000000000009E-2"/>
    <n v="0"/>
    <x v="10"/>
    <n v="2"/>
  </r>
  <r>
    <n v="5"/>
    <x v="5"/>
    <x v="3"/>
    <n v="3"/>
    <n v="6"/>
    <n v="-1.1799999999999997"/>
    <m/>
    <n v="4.3744531999999996"/>
    <x v="0"/>
    <n v="-0.29800000000000004"/>
    <s v="Ri"/>
    <x v="36"/>
    <n v="13"/>
  </r>
  <r>
    <n v="4"/>
    <x v="5"/>
    <x v="3"/>
    <n v="3"/>
    <n v="6"/>
    <n v="-1.1799999999999997"/>
    <m/>
    <n v="15.310586199999999"/>
    <x v="3"/>
    <n v="-0.24199999999999977"/>
    <n v="4"/>
    <x v="11"/>
    <n v="46"/>
  </r>
  <r>
    <n v="3"/>
    <x v="5"/>
    <x v="3"/>
    <n v="3"/>
    <n v="6"/>
    <n v="-1.1799999999999997"/>
    <m/>
    <n v="157.48031519999998"/>
    <x v="1"/>
    <n v="-0.49000000000000021"/>
    <n v="14"/>
    <x v="87"/>
    <n v="472"/>
  </r>
  <r>
    <n v="2"/>
    <x v="5"/>
    <x v="3"/>
    <n v="3"/>
    <n v="6"/>
    <n v="-1.1799999999999997"/>
    <m/>
    <n v="205.59930039999998"/>
    <x v="5"/>
    <n v="-6.0000000000000053E-2"/>
    <n v="0"/>
    <x v="140"/>
    <n v="617"/>
  </r>
  <r>
    <n v="1"/>
    <x v="5"/>
    <x v="3"/>
    <n v="3"/>
    <n v="6"/>
    <n v="-1.1799999999999997"/>
    <m/>
    <n v="554.46194309999998"/>
    <x v="2"/>
    <n v="-9.9999999999999645E-2"/>
    <n v="0"/>
    <x v="141"/>
    <n v="1663"/>
  </r>
  <r>
    <n v="6"/>
    <x v="5"/>
    <x v="3"/>
    <n v="2"/>
    <n v="6"/>
    <n v="-1.7199999999999998"/>
    <m/>
    <n v="0.33333333333333331"/>
    <x v="0"/>
    <n v="1.0000000000000009E-2"/>
    <n v="0"/>
    <x v="3"/>
    <n v="1"/>
  </r>
  <r>
    <n v="5"/>
    <x v="5"/>
    <x v="3"/>
    <n v="2"/>
    <n v="6"/>
    <n v="-1.7199999999999998"/>
    <m/>
    <n v="1"/>
    <x v="0"/>
    <n v="-0.97"/>
    <s v="Ri"/>
    <x v="10"/>
    <n v="3"/>
  </r>
  <r>
    <n v="4"/>
    <x v="5"/>
    <x v="3"/>
    <n v="2"/>
    <n v="6"/>
    <n v="-1.7199999999999998"/>
    <m/>
    <n v="14.216972899999998"/>
    <x v="0"/>
    <n v="3.6000000000000032E-2"/>
    <s v="Le"/>
    <x v="62"/>
    <n v="43"/>
  </r>
  <r>
    <n v="3"/>
    <x v="5"/>
    <x v="3"/>
    <n v="2"/>
    <n v="6"/>
    <n v="-1.7199999999999998"/>
    <m/>
    <n v="44.838145299999994"/>
    <x v="3"/>
    <n v="-0.29600000000000026"/>
    <n v="13"/>
    <x v="142"/>
    <n v="135"/>
  </r>
  <r>
    <n v="2"/>
    <x v="5"/>
    <x v="3"/>
    <n v="2"/>
    <n v="6"/>
    <n v="-1.7199999999999998"/>
    <m/>
    <n v="229.65879299999997"/>
    <x v="5"/>
    <n v="0.14000000000000012"/>
    <n v="0"/>
    <x v="143"/>
    <n v="689"/>
  </r>
  <r>
    <n v="1"/>
    <x v="5"/>
    <x v="3"/>
    <n v="2"/>
    <n v="6"/>
    <n v="-1.7199999999999998"/>
    <m/>
    <n v="440.72615989999997"/>
    <x v="2"/>
    <n v="-0.63999999999999968"/>
    <n v="0"/>
    <x v="144"/>
    <n v="1322"/>
  </r>
  <r>
    <n v="4"/>
    <x v="5"/>
    <x v="3"/>
    <n v="1"/>
    <n v="4"/>
    <n v="-2.4999999999999911E-2"/>
    <m/>
    <n v="1"/>
    <x v="0"/>
    <n v="4.0000000000000036E-2"/>
    <n v="0"/>
    <x v="10"/>
    <n v="3"/>
  </r>
  <r>
    <n v="3"/>
    <x v="5"/>
    <x v="3"/>
    <n v="1"/>
    <n v="4"/>
    <n v="-2.4999999999999911E-2"/>
    <m/>
    <n v="10.936132999999998"/>
    <x v="0"/>
    <n v="-4.4000000000000039E-2"/>
    <s v="Le"/>
    <x v="106"/>
    <n v="33"/>
  </r>
  <r>
    <n v="2"/>
    <x v="5"/>
    <x v="3"/>
    <n v="1"/>
    <n v="4"/>
    <n v="-2.4999999999999911E-2"/>
    <m/>
    <n v="107.17410339999999"/>
    <x v="1"/>
    <n v="-0.19600000000000017"/>
    <n v="10"/>
    <x v="145"/>
    <n v="322"/>
  </r>
  <r>
    <n v="1"/>
    <x v="5"/>
    <x v="3"/>
    <n v="1"/>
    <n v="4"/>
    <n v="-2.4999999999999911E-2"/>
    <m/>
    <n v="363.07961559999995"/>
    <x v="2"/>
    <n v="0.17500000000000027"/>
    <n v="0"/>
    <x v="146"/>
    <n v="1089"/>
  </r>
  <r>
    <n v="5"/>
    <x v="6"/>
    <x v="0"/>
    <n v="9"/>
    <n v="5"/>
    <n v="-0.20999999999999996"/>
    <m/>
    <n v="0.66666666666666663"/>
    <x v="0"/>
    <n v="1.0000000000000009E-2"/>
    <n v="0"/>
    <x v="10"/>
    <n v="2"/>
  </r>
  <r>
    <n v="4"/>
    <x v="6"/>
    <x v="0"/>
    <n v="9"/>
    <n v="5"/>
    <n v="-0.20999999999999996"/>
    <m/>
    <n v="15.310586199999999"/>
    <x v="1"/>
    <n v="0.28000000000000003"/>
    <n v="0"/>
    <x v="11"/>
    <n v="46"/>
  </r>
  <r>
    <n v="3"/>
    <x v="6"/>
    <x v="0"/>
    <n v="9"/>
    <n v="5"/>
    <n v="-0.20999999999999996"/>
    <m/>
    <n v="33.902012299999996"/>
    <x v="4"/>
    <n v="-0.76000000000000023"/>
    <n v="14"/>
    <x v="147"/>
    <n v="102"/>
  </r>
  <r>
    <n v="2"/>
    <x v="6"/>
    <x v="0"/>
    <n v="9"/>
    <n v="5"/>
    <n v="-0.20999999999999996"/>
    <m/>
    <n v="234.03324619999998"/>
    <x v="1"/>
    <n v="-7.9999999999999627E-2"/>
    <n v="31"/>
    <x v="148"/>
    <n v="702"/>
  </r>
  <r>
    <n v="1"/>
    <x v="6"/>
    <x v="0"/>
    <n v="9"/>
    <n v="5"/>
    <n v="-0.20999999999999996"/>
    <m/>
    <n v="530.40245049999999"/>
    <x v="2"/>
    <n v="0.33999999999999986"/>
    <n v="0"/>
    <x v="30"/>
    <n v="1591"/>
  </r>
  <r>
    <n v="3"/>
    <x v="6"/>
    <x v="0"/>
    <n v="8"/>
    <n v="3"/>
    <n v="-9.9999999999997868E-3"/>
    <m/>
    <n v="1"/>
    <x v="0"/>
    <n v="4.0000000000000036E-2"/>
    <n v="0"/>
    <x v="10"/>
    <n v="3"/>
  </r>
  <r>
    <n v="2"/>
    <x v="6"/>
    <x v="0"/>
    <n v="8"/>
    <n v="3"/>
    <n v="-9.9999999999997868E-3"/>
    <m/>
    <n v="5.4680664999999991"/>
    <x v="0"/>
    <n v="-0.24199999999999999"/>
    <s v="Hi"/>
    <x v="38"/>
    <n v="16"/>
  </r>
  <r>
    <n v="1"/>
    <x v="6"/>
    <x v="0"/>
    <n v="8"/>
    <n v="3"/>
    <n v="-9.9999999999997868E-3"/>
    <m/>
    <n v="157.48031519999998"/>
    <x v="2"/>
    <n v="0.19200000000000017"/>
    <n v="5"/>
    <x v="87"/>
    <n v="472"/>
  </r>
  <r>
    <n v="4"/>
    <x v="6"/>
    <x v="0"/>
    <n v="7"/>
    <n v="4"/>
    <n v="0.41000000000000014"/>
    <m/>
    <n v="1"/>
    <x v="0"/>
    <n v="4.0000000000000036E-2"/>
    <n v="0"/>
    <x v="10"/>
    <n v="3"/>
  </r>
  <r>
    <n v="3"/>
    <x v="6"/>
    <x v="0"/>
    <n v="7"/>
    <n v="4"/>
    <n v="0.41000000000000014"/>
    <m/>
    <n v="8.7489063999999992"/>
    <x v="0"/>
    <n v="-0.10000000000000009"/>
    <s v="Lo"/>
    <x v="50"/>
    <n v="26"/>
  </r>
  <r>
    <n v="2"/>
    <x v="6"/>
    <x v="0"/>
    <n v="7"/>
    <n v="4"/>
    <n v="0.41000000000000014"/>
    <m/>
    <n v="145.45056889999998"/>
    <x v="1"/>
    <n v="-2.9999999999999805E-2"/>
    <n v="8"/>
    <x v="149"/>
    <n v="436"/>
  </r>
  <r>
    <n v="1"/>
    <x v="6"/>
    <x v="0"/>
    <n v="7"/>
    <n v="4"/>
    <n v="0.41000000000000014"/>
    <m/>
    <n v="460.41119929999996"/>
    <x v="2"/>
    <n v="0.5"/>
    <n v="0"/>
    <x v="34"/>
    <n v="1381"/>
  </r>
  <r>
    <n v="4"/>
    <x v="6"/>
    <x v="0"/>
    <n v="6"/>
    <n v="4"/>
    <n v="4.9999999999998934E-3"/>
    <m/>
    <n v="1.3333333333333333"/>
    <x v="0"/>
    <n v="0.12999999999999989"/>
    <n v="0"/>
    <x v="10"/>
    <n v="4"/>
  </r>
  <r>
    <n v="3"/>
    <x v="6"/>
    <x v="0"/>
    <n v="6"/>
    <n v="4"/>
    <n v="4.9999999999998934E-3"/>
    <m/>
    <n v="10.936132999999998"/>
    <x v="0"/>
    <n v="-0.1339999999999999"/>
    <s v="Lo"/>
    <x v="106"/>
    <n v="33"/>
  </r>
  <r>
    <n v="2"/>
    <x v="6"/>
    <x v="0"/>
    <n v="6"/>
    <n v="4"/>
    <n v="4.9999999999998934E-3"/>
    <m/>
    <n v="124.67191619999998"/>
    <x v="1"/>
    <n v="-0.14599999999999991"/>
    <n v="10"/>
    <x v="135"/>
    <n v="374"/>
  </r>
  <r>
    <n v="1"/>
    <x v="6"/>
    <x v="0"/>
    <n v="6"/>
    <n v="4"/>
    <n v="4.9999999999998934E-3"/>
    <m/>
    <n v="377.29658849999998"/>
    <x v="2"/>
    <n v="0.1549999999999998"/>
    <n v="0"/>
    <x v="35"/>
    <n v="1132"/>
  </r>
  <r>
    <n v="4"/>
    <x v="6"/>
    <x v="0"/>
    <n v="5"/>
    <n v="4"/>
    <n v="-8.0000000000000071E-2"/>
    <m/>
    <n v="4.666666666666667"/>
    <x v="0"/>
    <n v="0.71199999999999997"/>
    <n v="0"/>
    <x v="38"/>
    <n v="14"/>
  </r>
  <r>
    <n v="3"/>
    <x v="6"/>
    <x v="0"/>
    <n v="5"/>
    <n v="4"/>
    <n v="-8.0000000000000071E-2"/>
    <m/>
    <n v="100.61242359999999"/>
    <x v="3"/>
    <n v="0.248"/>
    <n v="0"/>
    <x v="150"/>
    <n v="302"/>
  </r>
  <r>
    <n v="2"/>
    <x v="6"/>
    <x v="0"/>
    <n v="5"/>
    <n v="4"/>
    <n v="-8.0000000000000071E-2"/>
    <m/>
    <n v="100.61242359999999"/>
    <x v="5"/>
    <n v="-0.16000000000000014"/>
    <n v="0"/>
    <x v="150"/>
    <n v="302"/>
  </r>
  <r>
    <n v="1"/>
    <x v="6"/>
    <x v="0"/>
    <n v="5"/>
    <n v="4"/>
    <n v="-8.0000000000000071E-2"/>
    <m/>
    <n v="334.64566979999995"/>
    <x v="2"/>
    <n v="-0.87999999999999989"/>
    <n v="0"/>
    <x v="37"/>
    <n v="1004"/>
  </r>
  <r>
    <n v="5"/>
    <x v="6"/>
    <x v="0"/>
    <n v="4"/>
    <n v="5"/>
    <n v="-0.17999999999999972"/>
    <m/>
    <n v="0.66666666666666663"/>
    <x v="0"/>
    <n v="1.0000000000000009E-2"/>
    <n v="0"/>
    <x v="10"/>
    <n v="2"/>
  </r>
  <r>
    <n v="4"/>
    <x v="6"/>
    <x v="0"/>
    <n v="4"/>
    <n v="5"/>
    <n v="-0.17999999999999972"/>
    <m/>
    <n v="14.216972899999998"/>
    <x v="0"/>
    <n v="6.6000000000000059E-2"/>
    <s v="Lo"/>
    <x v="62"/>
    <n v="43"/>
  </r>
  <r>
    <n v="3"/>
    <x v="6"/>
    <x v="0"/>
    <n v="4"/>
    <n v="5"/>
    <n v="-0.17999999999999972"/>
    <m/>
    <n v="32.808398999999994"/>
    <x v="3"/>
    <n v="-0.48600000000000021"/>
    <n v="0"/>
    <x v="43"/>
    <n v="98"/>
  </r>
  <r>
    <n v="2"/>
    <x v="6"/>
    <x v="0"/>
    <n v="4"/>
    <n v="5"/>
    <n v="-0.17999999999999972"/>
    <m/>
    <n v="279.96500479999997"/>
    <x v="1"/>
    <n v="0.18999999999999995"/>
    <n v="30"/>
    <x v="151"/>
    <n v="840"/>
  </r>
  <r>
    <n v="1"/>
    <x v="6"/>
    <x v="0"/>
    <n v="4"/>
    <n v="5"/>
    <n v="-0.17999999999999972"/>
    <m/>
    <n v="577.42782239999997"/>
    <x v="2"/>
    <n v="4.000000000000048E-2"/>
    <n v="0"/>
    <x v="41"/>
    <n v="1732"/>
  </r>
  <r>
    <n v="4"/>
    <x v="6"/>
    <x v="0"/>
    <n v="3"/>
    <n v="4"/>
    <n v="-0.79"/>
    <m/>
    <n v="1"/>
    <x v="0"/>
    <n v="4.0000000000000036E-2"/>
    <n v="0"/>
    <x v="10"/>
    <n v="3"/>
  </r>
  <r>
    <n v="3"/>
    <x v="6"/>
    <x v="0"/>
    <n v="3"/>
    <n v="4"/>
    <n v="-0.79"/>
    <m/>
    <n v="8.7489063999999992"/>
    <x v="0"/>
    <n v="-0.10000000000000009"/>
    <s v="Ri"/>
    <x v="50"/>
    <n v="26"/>
  </r>
  <r>
    <n v="2"/>
    <x v="6"/>
    <x v="0"/>
    <n v="3"/>
    <n v="4"/>
    <n v="-0.79"/>
    <m/>
    <n v="21.872265999999996"/>
    <x v="3"/>
    <n v="-0.35000000000000009"/>
    <n v="8"/>
    <x v="16"/>
    <n v="66"/>
  </r>
  <r>
    <n v="1"/>
    <x v="6"/>
    <x v="0"/>
    <n v="3"/>
    <n v="4"/>
    <n v="-0.79"/>
    <m/>
    <n v="227.47156639999997"/>
    <x v="2"/>
    <n v="-0.37999999999999989"/>
    <n v="20"/>
    <x v="152"/>
    <n v="682"/>
  </r>
  <r>
    <n v="3"/>
    <x v="6"/>
    <x v="0"/>
    <n v="2"/>
    <n v="3"/>
    <n v="0.81099999999999994"/>
    <m/>
    <n v="2.6666666666666665"/>
    <x v="0"/>
    <n v="0.41999999999999993"/>
    <n v="0"/>
    <x v="45"/>
    <n v="8"/>
  </r>
  <r>
    <n v="2"/>
    <x v="6"/>
    <x v="0"/>
    <n v="2"/>
    <n v="3"/>
    <n v="0.81099999999999994"/>
    <m/>
    <n v="74.365704399999998"/>
    <x v="1"/>
    <n v="0.33000000000000007"/>
    <n v="2"/>
    <x v="153"/>
    <n v="223"/>
  </r>
  <r>
    <n v="1"/>
    <x v="6"/>
    <x v="0"/>
    <n v="2"/>
    <n v="3"/>
    <n v="0.81099999999999994"/>
    <m/>
    <n v="300.74365749999998"/>
    <x v="2"/>
    <n v="6.0999999999999943E-2"/>
    <n v="0"/>
    <x v="44"/>
    <n v="902"/>
  </r>
  <r>
    <n v="4"/>
    <x v="6"/>
    <x v="0"/>
    <n v="1"/>
    <n v="4"/>
    <n v="8.0000000000000071E-2"/>
    <m/>
    <n v="1.3333333333333333"/>
    <x v="0"/>
    <n v="0.12999999999999989"/>
    <n v="0"/>
    <x v="10"/>
    <n v="4"/>
  </r>
  <r>
    <n v="3"/>
    <x v="6"/>
    <x v="0"/>
    <n v="1"/>
    <n v="4"/>
    <n v="8.0000000000000071E-2"/>
    <m/>
    <n v="131.23359599999998"/>
    <x v="3"/>
    <n v="1.02"/>
    <n v="1"/>
    <x v="136"/>
    <n v="394"/>
  </r>
  <r>
    <n v="2"/>
    <x v="6"/>
    <x v="0"/>
    <n v="1"/>
    <n v="4"/>
    <n v="8.0000000000000071E-2"/>
    <m/>
    <n v="131.23359599999998"/>
    <x v="5"/>
    <n v="-0.35000000000000009"/>
    <n v="0"/>
    <x v="136"/>
    <n v="394"/>
  </r>
  <r>
    <n v="1"/>
    <x v="6"/>
    <x v="0"/>
    <n v="1"/>
    <n v="4"/>
    <n v="8.0000000000000071E-2"/>
    <m/>
    <n v="419.94750719999996"/>
    <x v="2"/>
    <n v="-0.71999999999999975"/>
    <n v="0"/>
    <x v="47"/>
    <n v="1260"/>
  </r>
  <r>
    <n v="4"/>
    <x v="7"/>
    <x v="4"/>
    <n v="18"/>
    <n v="4"/>
    <n v="4.9999999999998934E-3"/>
    <m/>
    <n v="1.0936132999999999"/>
    <x v="0"/>
    <n v="4.0000000000000036E-2"/>
    <n v="0"/>
    <x v="10"/>
    <n v="3"/>
  </r>
  <r>
    <n v="3"/>
    <x v="7"/>
    <x v="4"/>
    <n v="18"/>
    <n v="4"/>
    <n v="4.9999999999998934E-3"/>
    <m/>
    <n v="5.4680664999999991"/>
    <x v="0"/>
    <n v="-0.24199999999999999"/>
    <s v="Ri"/>
    <x v="38"/>
    <n v="16"/>
  </r>
  <r>
    <n v="2"/>
    <x v="7"/>
    <x v="4"/>
    <n v="18"/>
    <n v="4"/>
    <n v="4.9999999999998934E-3"/>
    <m/>
    <n v="125.76552949999999"/>
    <x v="1"/>
    <n v="5.2000000000000046E-2"/>
    <n v="0"/>
    <x v="103"/>
    <n v="377"/>
  </r>
  <r>
    <n v="1"/>
    <x v="7"/>
    <x v="4"/>
    <n v="18"/>
    <n v="4"/>
    <n v="4.9999999999998934E-3"/>
    <m/>
    <n v="377.29658849999998"/>
    <x v="2"/>
    <n v="0.1549999999999998"/>
    <n v="0"/>
    <x v="35"/>
    <n v="1132"/>
  </r>
  <r>
    <n v="4"/>
    <x v="7"/>
    <x v="4"/>
    <n v="17"/>
    <n v="4"/>
    <n v="0.47499999999999964"/>
    <m/>
    <n v="3.2808398999999997"/>
    <x v="0"/>
    <n v="0.56000000000000005"/>
    <n v="0"/>
    <x v="45"/>
    <n v="10"/>
  </r>
  <r>
    <n v="3"/>
    <x v="7"/>
    <x v="4"/>
    <n v="17"/>
    <n v="4"/>
    <n v="0.47499999999999964"/>
    <m/>
    <n v="6.5616797999999994"/>
    <x v="0"/>
    <n v="-0.70799999999999996"/>
    <s v="Le"/>
    <x v="8"/>
    <n v="20"/>
  </r>
  <r>
    <n v="2"/>
    <x v="7"/>
    <x v="4"/>
    <n v="17"/>
    <n v="4"/>
    <n v="0.47499999999999964"/>
    <m/>
    <n v="199.03762059999997"/>
    <x v="1"/>
    <n v="0.33799999999999986"/>
    <n v="0"/>
    <x v="12"/>
    <n v="597"/>
  </r>
  <r>
    <n v="1"/>
    <x v="7"/>
    <x v="4"/>
    <n v="17"/>
    <n v="4"/>
    <n v="0.47499999999999964"/>
    <m/>
    <n v="474.62817219999994"/>
    <x v="2"/>
    <n v="0.2849999999999997"/>
    <n v="0"/>
    <x v="154"/>
    <n v="1424"/>
  </r>
  <r>
    <n v="4"/>
    <x v="7"/>
    <x v="4"/>
    <n v="16"/>
    <n v="4"/>
    <n v="-6.0000000000000053E-2"/>
    <m/>
    <n v="10.936132999999998"/>
    <x v="0"/>
    <n v="0.996"/>
    <n v="0"/>
    <x v="106"/>
    <n v="33"/>
  </r>
  <r>
    <n v="3"/>
    <x v="7"/>
    <x v="4"/>
    <n v="16"/>
    <n v="4"/>
    <n v="-6.0000000000000053E-2"/>
    <m/>
    <n v="67.804024599999991"/>
    <x v="1"/>
    <n v="-0.29599999999999982"/>
    <n v="0"/>
    <x v="155"/>
    <n v="203"/>
  </r>
  <r>
    <n v="2"/>
    <x v="7"/>
    <x v="4"/>
    <n v="16"/>
    <n v="4"/>
    <n v="-6.0000000000000053E-2"/>
    <m/>
    <n v="77.646544299999988"/>
    <x v="4"/>
    <n v="-0.45999999999999996"/>
    <n v="0"/>
    <x v="156"/>
    <n v="233"/>
  </r>
  <r>
    <n v="1"/>
    <x v="7"/>
    <x v="4"/>
    <n v="16"/>
    <n v="4"/>
    <n v="-6.0000000000000053E-2"/>
    <m/>
    <n v="351.04986929999995"/>
    <x v="2"/>
    <n v="-0.30000000000000027"/>
    <n v="0"/>
    <x v="64"/>
    <n v="1053"/>
  </r>
  <r>
    <n v="4"/>
    <x v="7"/>
    <x v="4"/>
    <n v="15"/>
    <n v="4"/>
    <n v="-6.0000000000000053E-2"/>
    <m/>
    <n v="1.0936132999999999"/>
    <x v="0"/>
    <n v="4.0000000000000036E-2"/>
    <n v="0"/>
    <x v="10"/>
    <n v="3"/>
  </r>
  <r>
    <n v="3"/>
    <x v="7"/>
    <x v="4"/>
    <n v="15"/>
    <n v="4"/>
    <n v="-6.0000000000000053E-2"/>
    <m/>
    <n v="3.2808398999999997"/>
    <x v="0"/>
    <n v="-0.48"/>
    <s v="Le"/>
    <x v="45"/>
    <n v="10"/>
  </r>
  <r>
    <n v="2"/>
    <x v="7"/>
    <x v="4"/>
    <n v="15"/>
    <n v="4"/>
    <n v="-6.0000000000000053E-2"/>
    <m/>
    <n v="20.778652699999999"/>
    <x v="3"/>
    <n v="2.9999999999999805E-2"/>
    <n v="0"/>
    <x v="66"/>
    <n v="62"/>
  </r>
  <r>
    <n v="1"/>
    <x v="7"/>
    <x v="4"/>
    <n v="15"/>
    <n v="4"/>
    <n v="-6.0000000000000053E-2"/>
    <m/>
    <n v="351.04986929999995"/>
    <x v="2"/>
    <n v="0.35000000000000009"/>
    <n v="0"/>
    <x v="64"/>
    <n v="1053"/>
  </r>
  <r>
    <n v="3"/>
    <x v="7"/>
    <x v="4"/>
    <n v="14"/>
    <n v="3"/>
    <n v="4.9999999999999822E-2"/>
    <m/>
    <n v="3.2808398999999997"/>
    <x v="0"/>
    <n v="0.56000000000000005"/>
    <n v="0"/>
    <x v="45"/>
    <n v="10"/>
  </r>
  <r>
    <n v="2"/>
    <x v="7"/>
    <x v="4"/>
    <n v="14"/>
    <n v="3"/>
    <n v="4.9999999999999822E-2"/>
    <m/>
    <n v="8.7489063999999992"/>
    <x v="1"/>
    <n v="-0.53000000000000025"/>
    <n v="0"/>
    <x v="50"/>
    <n v="26"/>
  </r>
  <r>
    <n v="1"/>
    <x v="7"/>
    <x v="4"/>
    <n v="14"/>
    <n v="3"/>
    <n v="4.9999999999999822E-2"/>
    <m/>
    <n v="170.60367479999999"/>
    <x v="2"/>
    <n v="2.0000000000000018E-2"/>
    <n v="0"/>
    <x v="123"/>
    <n v="512"/>
  </r>
  <r>
    <n v="4"/>
    <x v="7"/>
    <x v="4"/>
    <n v="13"/>
    <n v="4"/>
    <n v="-8.0000000000000071E-2"/>
    <m/>
    <n v="1.0936132999999999"/>
    <x v="0"/>
    <n v="4.0000000000000036E-2"/>
    <n v="0"/>
    <x v="10"/>
    <n v="3"/>
  </r>
  <r>
    <n v="3"/>
    <x v="7"/>
    <x v="4"/>
    <n v="13"/>
    <n v="4"/>
    <n v="-8.0000000000000071E-2"/>
    <m/>
    <n v="3.2808398999999997"/>
    <x v="0"/>
    <n v="-0.48"/>
    <s v="Le"/>
    <x v="45"/>
    <n v="10"/>
  </r>
  <r>
    <n v="2"/>
    <x v="7"/>
    <x v="4"/>
    <n v="13"/>
    <n v="4"/>
    <n v="-8.0000000000000071E-2"/>
    <m/>
    <n v="152.01224869999999"/>
    <x v="1"/>
    <n v="0.41999999999999993"/>
    <n v="0"/>
    <x v="32"/>
    <n v="456"/>
  </r>
  <r>
    <n v="1"/>
    <x v="7"/>
    <x v="4"/>
    <n v="13"/>
    <n v="4"/>
    <n v="-8.0000000000000071E-2"/>
    <m/>
    <n v="332.45844319999998"/>
    <x v="2"/>
    <n v="-6.0000000000000053E-2"/>
    <n v="0"/>
    <x v="157"/>
    <n v="997"/>
  </r>
  <r>
    <n v="3"/>
    <x v="7"/>
    <x v="4"/>
    <n v="12"/>
    <n v="3"/>
    <n v="0.82500000000000018"/>
    <m/>
    <n v="1.0936132999999999"/>
    <x v="0"/>
    <n v="4.0000000000000036E-2"/>
    <n v="0"/>
    <x v="10"/>
    <n v="3"/>
  </r>
  <r>
    <n v="2"/>
    <x v="7"/>
    <x v="4"/>
    <n v="12"/>
    <n v="3"/>
    <n v="0.82500000000000018"/>
    <m/>
    <n v="8.7489063999999992"/>
    <x v="1"/>
    <n v="-1.0000000000000231E-2"/>
    <n v="0"/>
    <x v="50"/>
    <n v="26"/>
  </r>
  <r>
    <n v="1"/>
    <x v="7"/>
    <x v="4"/>
    <n v="12"/>
    <n v="3"/>
    <n v="0.82500000000000018"/>
    <m/>
    <n v="309.49256389999999"/>
    <x v="2"/>
    <n v="0.79500000000000037"/>
    <n v="0"/>
    <x v="73"/>
    <n v="928"/>
  </r>
  <r>
    <n v="3"/>
    <x v="7"/>
    <x v="4"/>
    <n v="11"/>
    <n v="3"/>
    <n v="4.9999999999999822E-2"/>
    <m/>
    <n v="1.0936132999999999"/>
    <x v="0"/>
    <n v="4.0000000000000036E-2"/>
    <n v="0"/>
    <x v="10"/>
    <n v="3"/>
  </r>
  <r>
    <n v="2"/>
    <x v="7"/>
    <x v="4"/>
    <n v="11"/>
    <n v="3"/>
    <n v="4.9999999999999822E-2"/>
    <m/>
    <n v="17.497812799999998"/>
    <x v="1"/>
    <n v="0.25"/>
    <n v="0"/>
    <x v="130"/>
    <n v="52"/>
  </r>
  <r>
    <n v="1"/>
    <x v="7"/>
    <x v="4"/>
    <n v="11"/>
    <n v="3"/>
    <n v="4.9999999999999822E-2"/>
    <m/>
    <n v="166.22922159999999"/>
    <x v="2"/>
    <n v="-0.24000000000000021"/>
    <n v="0"/>
    <x v="48"/>
    <n v="499"/>
  </r>
  <r>
    <n v="4"/>
    <x v="7"/>
    <x v="4"/>
    <n v="10"/>
    <n v="4"/>
    <n v="8.0000000000000071E-2"/>
    <m/>
    <n v="1.0936132999999999"/>
    <x v="0"/>
    <n v="4.0000000000000036E-2"/>
    <n v="0"/>
    <x v="10"/>
    <n v="3"/>
  </r>
  <r>
    <n v="3"/>
    <x v="7"/>
    <x v="4"/>
    <n v="10"/>
    <n v="4"/>
    <n v="8.0000000000000071E-2"/>
    <m/>
    <n v="6.5616797999999994"/>
    <x v="0"/>
    <n v="-0.18799999999999994"/>
    <s v="Le"/>
    <x v="8"/>
    <n v="20"/>
  </r>
  <r>
    <n v="2"/>
    <x v="7"/>
    <x v="4"/>
    <n v="10"/>
    <n v="4"/>
    <n v="8.0000000000000071E-2"/>
    <m/>
    <n v="120.29746299999999"/>
    <x v="1"/>
    <n v="-2.0000000000000018E-3"/>
    <n v="0"/>
    <x v="158"/>
    <n v="361"/>
  </r>
  <r>
    <n v="1"/>
    <x v="7"/>
    <x v="4"/>
    <n v="10"/>
    <n v="4"/>
    <n v="8.0000000000000071E-2"/>
    <m/>
    <n v="403.54330769999996"/>
    <x v="2"/>
    <n v="0.22999999999999998"/>
    <n v="0"/>
    <x v="159"/>
    <n v="1211"/>
  </r>
  <r>
    <n v="3"/>
    <x v="7"/>
    <x v="4"/>
    <n v="9"/>
    <n v="3"/>
    <n v="0.16999999999999993"/>
    <m/>
    <n v="0.33333333333333331"/>
    <x v="0"/>
    <n v="1.0000000000000009E-2"/>
    <n v="0"/>
    <x v="3"/>
    <n v="1"/>
  </r>
  <r>
    <n v="2"/>
    <x v="7"/>
    <x v="4"/>
    <n v="9"/>
    <n v="3"/>
    <n v="0.16999999999999993"/>
    <m/>
    <n v="4.3744531999999996"/>
    <x v="0"/>
    <n v="-0.29800000000000004"/>
    <s v="Le"/>
    <x v="36"/>
    <n v="13"/>
  </r>
  <r>
    <n v="1"/>
    <x v="7"/>
    <x v="4"/>
    <n v="9"/>
    <n v="3"/>
    <n v="0.16999999999999993"/>
    <m/>
    <n v="207.78652699999998"/>
    <x v="2"/>
    <n v="0.45799999999999996"/>
    <n v="0"/>
    <x v="160"/>
    <n v="623"/>
  </r>
  <r>
    <n v="5"/>
    <x v="7"/>
    <x v="4"/>
    <n v="8"/>
    <n v="5"/>
    <n v="-0.77500000000000036"/>
    <m/>
    <n v="1.0936132999999999"/>
    <x v="0"/>
    <n v="4.0000000000000036E-2"/>
    <n v="0"/>
    <x v="10"/>
    <n v="3"/>
  </r>
  <r>
    <n v="4"/>
    <x v="7"/>
    <x v="4"/>
    <n v="8"/>
    <n v="5"/>
    <n v="-0.77500000000000036"/>
    <m/>
    <n v="15.310586199999999"/>
    <x v="0"/>
    <n v="6.800000000000006E-2"/>
    <s v="Ri"/>
    <x v="11"/>
    <n v="46"/>
  </r>
  <r>
    <n v="3"/>
    <x v="7"/>
    <x v="4"/>
    <n v="8"/>
    <n v="5"/>
    <n v="-0.77500000000000036"/>
    <m/>
    <n v="54.680664999999998"/>
    <x v="4"/>
    <n v="-0.28800000000000026"/>
    <n v="0"/>
    <x v="132"/>
    <n v="164"/>
  </r>
  <r>
    <n v="2"/>
    <x v="7"/>
    <x v="4"/>
    <n v="8"/>
    <n v="5"/>
    <n v="-0.77500000000000036"/>
    <m/>
    <n v="202.31846049999999"/>
    <x v="1"/>
    <n v="-0.5"/>
    <n v="0"/>
    <x v="109"/>
    <n v="607"/>
  </r>
  <r>
    <n v="1"/>
    <x v="7"/>
    <x v="4"/>
    <n v="8"/>
    <n v="5"/>
    <n v="-0.77500000000000036"/>
    <m/>
    <n v="434.16448009999993"/>
    <x v="2"/>
    <n v="-9.5000000000000195E-2"/>
    <n v="0"/>
    <x v="161"/>
    <n v="1302"/>
  </r>
  <r>
    <n v="4"/>
    <x v="7"/>
    <x v="4"/>
    <n v="7"/>
    <n v="4"/>
    <n v="0.59750000000000014"/>
    <m/>
    <n v="6.5616797999999994"/>
    <x v="0"/>
    <n v="0.85200000000000009"/>
    <n v="0"/>
    <x v="8"/>
    <n v="20"/>
  </r>
  <r>
    <n v="3"/>
    <x v="7"/>
    <x v="4"/>
    <n v="7"/>
    <n v="4"/>
    <n v="0.59750000000000014"/>
    <m/>
    <n v="85.301837399999997"/>
    <x v="4"/>
    <n v="0.38800000000000012"/>
    <n v="0"/>
    <x v="162"/>
    <n v="256"/>
  </r>
  <r>
    <n v="2"/>
    <x v="7"/>
    <x v="4"/>
    <n v="7"/>
    <n v="4"/>
    <n v="0.59750000000000014"/>
    <m/>
    <n v="196.85039399999999"/>
    <x v="1"/>
    <n v="-1.0500000000000003"/>
    <n v="0"/>
    <x v="138"/>
    <n v="591"/>
  </r>
  <r>
    <n v="1"/>
    <x v="7"/>
    <x v="4"/>
    <n v="7"/>
    <n v="4"/>
    <n v="0.59750000000000014"/>
    <m/>
    <n v="486.65791849999994"/>
    <x v="2"/>
    <n v="0.4075000000000002"/>
    <n v="0"/>
    <x v="163"/>
    <n v="1460"/>
  </r>
  <r>
    <n v="5"/>
    <x v="7"/>
    <x v="4"/>
    <n v="6"/>
    <n v="5"/>
    <n v="-0.17999999999999972"/>
    <m/>
    <n v="1.0936132999999999"/>
    <x v="0"/>
    <n v="4.0000000000000036E-2"/>
    <n v="0"/>
    <x v="10"/>
    <n v="3"/>
  </r>
  <r>
    <n v="4"/>
    <x v="7"/>
    <x v="4"/>
    <n v="6"/>
    <n v="5"/>
    <n v="-0.17999999999999972"/>
    <m/>
    <n v="75.4593177"/>
    <x v="1"/>
    <n v="0.71"/>
    <n v="0"/>
    <x v="164"/>
    <n v="226"/>
  </r>
  <r>
    <n v="3"/>
    <x v="7"/>
    <x v="4"/>
    <n v="6"/>
    <n v="5"/>
    <n v="-0.17999999999999972"/>
    <m/>
    <n v="85.301837399999997"/>
    <x v="1"/>
    <n v="-1"/>
    <n v="0"/>
    <x v="162"/>
    <n v="256"/>
  </r>
  <r>
    <n v="2"/>
    <x v="7"/>
    <x v="4"/>
    <n v="6"/>
    <n v="5"/>
    <n v="-0.17999999999999972"/>
    <m/>
    <n v="317.14785699999999"/>
    <x v="1"/>
    <n v="0.12999999999999989"/>
    <n v="0"/>
    <x v="165"/>
    <n v="951"/>
  </r>
  <r>
    <n v="1"/>
    <x v="7"/>
    <x v="4"/>
    <n v="6"/>
    <n v="5"/>
    <n v="-0.17999999999999972"/>
    <m/>
    <n v="575.24059579999994"/>
    <x v="2"/>
    <n v="-5.9999999999999609E-2"/>
    <n v="0"/>
    <x v="127"/>
    <n v="1726"/>
  </r>
  <r>
    <n v="4"/>
    <x v="7"/>
    <x v="4"/>
    <n v="5"/>
    <n v="4"/>
    <n v="8.3000000000000185E-2"/>
    <m/>
    <n v="2.1872265999999998"/>
    <x v="0"/>
    <n v="0.34000000000000008"/>
    <n v="0"/>
    <x v="0"/>
    <n v="7"/>
  </r>
  <r>
    <n v="3"/>
    <x v="7"/>
    <x v="4"/>
    <n v="5"/>
    <n v="4"/>
    <n v="8.3000000000000185E-2"/>
    <m/>
    <n v="10.936132999999998"/>
    <x v="1"/>
    <n v="-0.15999999999999992"/>
    <n v="0"/>
    <x v="106"/>
    <n v="33"/>
  </r>
  <r>
    <n v="2"/>
    <x v="7"/>
    <x v="4"/>
    <n v="5"/>
    <n v="4"/>
    <n v="8.3000000000000185E-2"/>
    <m/>
    <n v="147.63779549999998"/>
    <x v="1"/>
    <n v="-0.20000000000000018"/>
    <n v="0"/>
    <x v="108"/>
    <n v="443"/>
  </r>
  <r>
    <n v="1"/>
    <x v="7"/>
    <x v="4"/>
    <n v="5"/>
    <n v="4"/>
    <n v="8.3000000000000185E-2"/>
    <m/>
    <n v="399.16885449999995"/>
    <x v="2"/>
    <n v="0.1030000000000002"/>
    <n v="0"/>
    <x v="18"/>
    <n v="1198"/>
  </r>
  <r>
    <n v="5"/>
    <x v="7"/>
    <x v="4"/>
    <n v="4"/>
    <n v="5"/>
    <n v="-0.65500000000000025"/>
    <m/>
    <n v="3.2808398999999997"/>
    <x v="0"/>
    <n v="0.56000000000000005"/>
    <n v="0"/>
    <x v="45"/>
    <n v="10"/>
  </r>
  <r>
    <n v="4"/>
    <x v="7"/>
    <x v="4"/>
    <n v="4"/>
    <n v="5"/>
    <n v="-0.65500000000000025"/>
    <m/>
    <n v="8.7489063999999992"/>
    <x v="0"/>
    <n v="-0.62000000000000011"/>
    <s v="Le"/>
    <x v="50"/>
    <n v="26"/>
  </r>
  <r>
    <n v="3"/>
    <x v="7"/>
    <x v="4"/>
    <n v="4"/>
    <n v="5"/>
    <n v="-0.65500000000000025"/>
    <m/>
    <n v="14.216972899999998"/>
    <x v="1"/>
    <n v="-0.64999999999999991"/>
    <n v="0"/>
    <x v="62"/>
    <n v="43"/>
  </r>
  <r>
    <n v="2"/>
    <x v="7"/>
    <x v="4"/>
    <n v="4"/>
    <n v="5"/>
    <n v="-0.65500000000000025"/>
    <m/>
    <n v="142.16972899999999"/>
    <x v="1"/>
    <n v="-0.37999999999999989"/>
    <n v="0"/>
    <x v="166"/>
    <n v="427"/>
  </r>
  <r>
    <n v="1"/>
    <x v="7"/>
    <x v="4"/>
    <n v="4"/>
    <n v="5"/>
    <n v="-0.65500000000000025"/>
    <m/>
    <n v="454.94313279999994"/>
    <x v="2"/>
    <n v="0.43499999999999961"/>
    <n v="0"/>
    <x v="167"/>
    <n v="1365"/>
  </r>
  <r>
    <n v="4"/>
    <x v="7"/>
    <x v="4"/>
    <n v="3"/>
    <n v="4"/>
    <n v="4.9999999999998934E-3"/>
    <m/>
    <n v="3.2808398999999997"/>
    <x v="0"/>
    <n v="0.56000000000000005"/>
    <n v="0"/>
    <x v="45"/>
    <n v="10"/>
  </r>
  <r>
    <n v="3"/>
    <x v="7"/>
    <x v="4"/>
    <n v="3"/>
    <n v="4"/>
    <n v="4.9999999999998934E-3"/>
    <m/>
    <n v="7.6552930999999997"/>
    <x v="1"/>
    <n v="-0.53000000000000025"/>
    <n v="0"/>
    <x v="4"/>
    <n v="23"/>
  </r>
  <r>
    <n v="2"/>
    <x v="7"/>
    <x v="4"/>
    <n v="3"/>
    <n v="4"/>
    <n v="4.9999999999998934E-3"/>
    <m/>
    <n v="106.08049009999999"/>
    <x v="1"/>
    <n v="-0.22999999999999998"/>
    <n v="0"/>
    <x v="67"/>
    <n v="318"/>
  </r>
  <r>
    <n v="1"/>
    <x v="7"/>
    <x v="4"/>
    <n v="3"/>
    <n v="4"/>
    <n v="4.9999999999998934E-3"/>
    <m/>
    <n v="378.39020179999994"/>
    <x v="2"/>
    <n v="0.20500000000000007"/>
    <n v="0"/>
    <x v="168"/>
    <n v="1135"/>
  </r>
  <r>
    <n v="3"/>
    <x v="7"/>
    <x v="4"/>
    <n v="2"/>
    <n v="3"/>
    <n v="0.12000000000000011"/>
    <m/>
    <n v="0.33333333333333331"/>
    <x v="0"/>
    <n v="1.0000000000000009E-2"/>
    <n v="0"/>
    <x v="3"/>
    <n v="1"/>
  </r>
  <r>
    <n v="2"/>
    <x v="7"/>
    <x v="4"/>
    <n v="2"/>
    <n v="3"/>
    <n v="0.12000000000000011"/>
    <m/>
    <n v="12.029746299999999"/>
    <x v="1"/>
    <n v="0.17000000000000015"/>
    <n v="0"/>
    <x v="22"/>
    <n v="36"/>
  </r>
  <r>
    <n v="1"/>
    <x v="7"/>
    <x v="4"/>
    <n v="2"/>
    <n v="3"/>
    <n v="0.12000000000000011"/>
    <m/>
    <n v="188.10148759999998"/>
    <x v="2"/>
    <n v="-6.0000000000000053E-2"/>
    <n v="0"/>
    <x v="17"/>
    <n v="564"/>
  </r>
  <r>
    <n v="4"/>
    <x v="7"/>
    <x v="4"/>
    <n v="1"/>
    <n v="4"/>
    <n v="8.0000000000000071E-2"/>
    <m/>
    <n v="0.33333333333333331"/>
    <x v="0"/>
    <n v="1.0000000000000009E-2"/>
    <n v="0"/>
    <x v="3"/>
    <n v="1"/>
  </r>
  <r>
    <n v="3"/>
    <x v="7"/>
    <x v="4"/>
    <n v="1"/>
    <n v="4"/>
    <n v="8.0000000000000071E-2"/>
    <m/>
    <n v="1.3333333333333333"/>
    <x v="0"/>
    <n v="-0.88000000000000012"/>
    <s v="Le"/>
    <x v="10"/>
    <n v="4"/>
  </r>
  <r>
    <n v="2"/>
    <x v="7"/>
    <x v="4"/>
    <n v="1"/>
    <n v="4"/>
    <n v="8.0000000000000071E-2"/>
    <m/>
    <n v="129.04636939999997"/>
    <x v="1"/>
    <n v="0.78000000000000025"/>
    <n v="0"/>
    <x v="52"/>
    <n v="387"/>
  </r>
  <r>
    <n v="1"/>
    <x v="7"/>
    <x v="4"/>
    <n v="1"/>
    <n v="4"/>
    <n v="8.0000000000000071E-2"/>
    <m/>
    <n v="411.19860079999995"/>
    <x v="2"/>
    <n v="0.16999999999999993"/>
    <n v="0"/>
    <x v="169"/>
    <n v="1234"/>
  </r>
  <r>
    <n v="4"/>
    <x v="8"/>
    <x v="5"/>
    <n v="9"/>
    <n v="4"/>
    <n v="-6.0000000000000053E-2"/>
    <m/>
    <n v="1.0936132999999999"/>
    <x v="0"/>
    <n v="4.0000000000000036E-2"/>
    <n v="0"/>
    <x v="10"/>
    <n v="3"/>
  </r>
  <r>
    <n v="3"/>
    <x v="8"/>
    <x v="5"/>
    <n v="9"/>
    <n v="4"/>
    <n v="-6.0000000000000053E-2"/>
    <m/>
    <n v="8.7489063999999992"/>
    <x v="0"/>
    <n v="-0.10000000000000009"/>
    <s v="Hi"/>
    <x v="50"/>
    <n v="26"/>
  </r>
  <r>
    <n v="2"/>
    <x v="8"/>
    <x v="5"/>
    <n v="9"/>
    <n v="4"/>
    <n v="-6.0000000000000053E-2"/>
    <m/>
    <n v="92.957130499999991"/>
    <x v="1"/>
    <n v="-0.14000000000000012"/>
    <n v="0"/>
    <x v="170"/>
    <n v="279"/>
  </r>
  <r>
    <n v="1"/>
    <x v="8"/>
    <x v="5"/>
    <n v="9"/>
    <n v="4"/>
    <n v="-6.0000000000000053E-2"/>
    <m/>
    <n v="354.33070919999994"/>
    <x v="2"/>
    <n v="0.14000000000000012"/>
    <n v="0"/>
    <x v="171"/>
    <n v="1063"/>
  </r>
  <r>
    <n v="4"/>
    <x v="8"/>
    <x v="5"/>
    <n v="8"/>
    <n v="4"/>
    <n v="4.9999999999998934E-3"/>
    <m/>
    <n v="4.3744531999999996"/>
    <x v="0"/>
    <n v="0.71199999999999997"/>
    <n v="0"/>
    <x v="36"/>
    <n v="13"/>
  </r>
  <r>
    <n v="3"/>
    <x v="8"/>
    <x v="5"/>
    <n v="8"/>
    <n v="4"/>
    <n v="4.9999999999998934E-3"/>
    <m/>
    <n v="9.8425196999999987"/>
    <x v="0"/>
    <n v="-0.74199999999999999"/>
    <s v="Hi"/>
    <x v="31"/>
    <n v="30"/>
  </r>
  <r>
    <n v="2"/>
    <x v="8"/>
    <x v="5"/>
    <n v="8"/>
    <n v="4"/>
    <n v="4.9999999999998934E-3"/>
    <m/>
    <n v="153.10586199999997"/>
    <x v="1"/>
    <n v="1.0000000000000009E-2"/>
    <n v="0"/>
    <x v="20"/>
    <n v="459"/>
  </r>
  <r>
    <n v="1"/>
    <x v="8"/>
    <x v="5"/>
    <n v="8"/>
    <n v="4"/>
    <n v="4.9999999999998934E-3"/>
    <m/>
    <n v="381.67104169999999"/>
    <x v="2"/>
    <n v="2.4999999999999911E-2"/>
    <n v="0"/>
    <x v="172"/>
    <n v="1145"/>
  </r>
  <r>
    <n v="3"/>
    <x v="8"/>
    <x v="5"/>
    <n v="7"/>
    <n v="3"/>
    <n v="0.82500000000000018"/>
    <m/>
    <n v="2.1872265999999998"/>
    <x v="0"/>
    <n v="0.34000000000000008"/>
    <n v="0"/>
    <x v="0"/>
    <n v="7"/>
  </r>
  <r>
    <n v="2"/>
    <x v="8"/>
    <x v="5"/>
    <n v="7"/>
    <n v="3"/>
    <n v="0.82500000000000018"/>
    <m/>
    <n v="63.429571399999993"/>
    <x v="4"/>
    <n v="0.80999999999999983"/>
    <n v="0"/>
    <x v="54"/>
    <n v="190"/>
  </r>
  <r>
    <n v="1"/>
    <x v="8"/>
    <x v="5"/>
    <n v="7"/>
    <n v="3"/>
    <n v="0.82500000000000018"/>
    <m/>
    <n v="308.39895059999998"/>
    <x v="2"/>
    <n v="-0.32499999999999973"/>
    <n v="0"/>
    <x v="173"/>
    <n v="925"/>
  </r>
  <r>
    <n v="5"/>
    <x v="8"/>
    <x v="5"/>
    <n v="6"/>
    <n v="5"/>
    <n v="-0.34999999999999964"/>
    <m/>
    <n v="1.0936132999999999"/>
    <x v="0"/>
    <n v="4.0000000000000036E-2"/>
    <n v="0"/>
    <x v="10"/>
    <n v="3"/>
  </r>
  <r>
    <n v="4"/>
    <x v="8"/>
    <x v="5"/>
    <n v="6"/>
    <n v="5"/>
    <n v="-0.34999999999999964"/>
    <m/>
    <n v="4.3744531999999996"/>
    <x v="0"/>
    <n v="-0.32800000000000007"/>
    <s v="Hi"/>
    <x v="36"/>
    <n v="13"/>
  </r>
  <r>
    <n v="3"/>
    <x v="8"/>
    <x v="5"/>
    <n v="6"/>
    <n v="5"/>
    <n v="-0.34999999999999964"/>
    <m/>
    <n v="15.310586199999999"/>
    <x v="1"/>
    <n v="-0.42199999999999993"/>
    <n v="0"/>
    <x v="11"/>
    <n v="46"/>
  </r>
  <r>
    <n v="2"/>
    <x v="8"/>
    <x v="5"/>
    <n v="6"/>
    <n v="5"/>
    <n v="-0.34999999999999964"/>
    <m/>
    <n v="205.59930039999998"/>
    <x v="1"/>
    <n v="2.9999999999999805E-2"/>
    <n v="0"/>
    <x v="140"/>
    <n v="617"/>
  </r>
  <r>
    <n v="1"/>
    <x v="8"/>
    <x v="5"/>
    <n v="6"/>
    <n v="5"/>
    <n v="-0.34999999999999964"/>
    <m/>
    <n v="500.87489139999997"/>
    <x v="2"/>
    <n v="0.33000000000000052"/>
    <n v="0"/>
    <x v="174"/>
    <n v="1503"/>
  </r>
  <r>
    <n v="5"/>
    <x v="8"/>
    <x v="5"/>
    <n v="5"/>
    <n v="5"/>
    <n v="-0.91999999999999993"/>
    <m/>
    <n v="1.0936132999999999"/>
    <x v="0"/>
    <n v="4.0000000000000036E-2"/>
    <n v="0"/>
    <x v="10"/>
    <n v="3"/>
  </r>
  <r>
    <n v="4"/>
    <x v="8"/>
    <x v="5"/>
    <n v="5"/>
    <n v="5"/>
    <n v="-0.91999999999999993"/>
    <m/>
    <n v="5.4680664999999991"/>
    <x v="0"/>
    <n v="-0.24199999999999999"/>
    <s v="Lo"/>
    <x v="38"/>
    <n v="16"/>
  </r>
  <r>
    <n v="3"/>
    <x v="8"/>
    <x v="5"/>
    <n v="5"/>
    <n v="5"/>
    <n v="-0.91999999999999993"/>
    <m/>
    <n v="12.029746299999999"/>
    <x v="1"/>
    <n v="-0.61799999999999988"/>
    <n v="0"/>
    <x v="22"/>
    <n v="36"/>
  </r>
  <r>
    <n v="2"/>
    <x v="8"/>
    <x v="5"/>
    <n v="5"/>
    <n v="5"/>
    <n v="-0.91999999999999993"/>
    <m/>
    <n v="129.04636939999997"/>
    <x v="1"/>
    <n v="-0.27"/>
    <n v="0"/>
    <x v="52"/>
    <n v="387"/>
  </r>
  <r>
    <n v="1"/>
    <x v="8"/>
    <x v="5"/>
    <n v="5"/>
    <n v="5"/>
    <n v="-0.91999999999999993"/>
    <m/>
    <n v="413.38582739999998"/>
    <x v="2"/>
    <n v="0.16999999999999993"/>
    <n v="0"/>
    <x v="175"/>
    <n v="1240"/>
  </r>
  <r>
    <n v="5"/>
    <x v="8"/>
    <x v="5"/>
    <n v="4"/>
    <n v="5"/>
    <n v="-0.20999999999999996"/>
    <m/>
    <n v="6.5616797999999994"/>
    <x v="0"/>
    <n v="0.85200000000000009"/>
    <n v="0"/>
    <x v="8"/>
    <n v="20"/>
  </r>
  <r>
    <n v="4"/>
    <x v="8"/>
    <x v="5"/>
    <n v="4"/>
    <n v="5"/>
    <n v="-0.20999999999999996"/>
    <m/>
    <n v="18.5914261"/>
    <x v="0"/>
    <n v="-0.68200000000000016"/>
    <s v="Le"/>
    <x v="112"/>
    <n v="56"/>
  </r>
  <r>
    <n v="3"/>
    <x v="8"/>
    <x v="5"/>
    <n v="4"/>
    <n v="5"/>
    <n v="-0.20999999999999996"/>
    <m/>
    <n v="63.429571399999993"/>
    <x v="1"/>
    <n v="-0.46999999999999975"/>
    <n v="0"/>
    <x v="54"/>
    <n v="190"/>
  </r>
  <r>
    <n v="2"/>
    <x v="8"/>
    <x v="5"/>
    <n v="4"/>
    <n v="5"/>
    <n v="-0.20999999999999996"/>
    <m/>
    <n v="207.78652699999998"/>
    <x v="1"/>
    <n v="-0.38000000000000034"/>
    <n v="0"/>
    <x v="160"/>
    <n v="623"/>
  </r>
  <r>
    <n v="1"/>
    <x v="8"/>
    <x v="5"/>
    <n v="4"/>
    <n v="5"/>
    <n v="-0.20999999999999996"/>
    <m/>
    <n v="534.77690369999993"/>
    <x v="2"/>
    <n v="0.4700000000000002"/>
    <n v="0"/>
    <x v="176"/>
    <n v="1604"/>
  </r>
  <r>
    <n v="4"/>
    <x v="8"/>
    <x v="5"/>
    <n v="3"/>
    <n v="4"/>
    <n v="-1.02"/>
    <m/>
    <n v="1.0936132999999999"/>
    <x v="0"/>
    <n v="4.0000000000000036E-2"/>
    <n v="0"/>
    <x v="10"/>
    <n v="3"/>
  </r>
  <r>
    <n v="3"/>
    <x v="8"/>
    <x v="5"/>
    <n v="3"/>
    <n v="4"/>
    <n v="-1.02"/>
    <m/>
    <n v="3.2808398999999997"/>
    <x v="0"/>
    <n v="-0.48"/>
    <s v="Lo"/>
    <x v="45"/>
    <n v="10"/>
  </r>
  <r>
    <n v="2"/>
    <x v="8"/>
    <x v="5"/>
    <n v="3"/>
    <n v="4"/>
    <n v="-1.02"/>
    <m/>
    <n v="12.029746299999999"/>
    <x v="0"/>
    <n v="-0.53200000000000003"/>
    <n v="0"/>
    <x v="22"/>
    <n v="36"/>
  </r>
  <r>
    <n v="1"/>
    <x v="8"/>
    <x v="5"/>
    <n v="3"/>
    <n v="4"/>
    <n v="-1.02"/>
    <m/>
    <n v="142.16972899999999"/>
    <x v="2"/>
    <n v="-4.8000000000000043E-2"/>
    <n v="0"/>
    <x v="166"/>
    <n v="427"/>
  </r>
  <r>
    <n v="4"/>
    <x v="8"/>
    <x v="5"/>
    <n v="2"/>
    <n v="4"/>
    <n v="8.0000000000000071E-2"/>
    <m/>
    <n v="1.0936132999999999"/>
    <x v="0"/>
    <n v="4.0000000000000036E-2"/>
    <n v="0"/>
    <x v="10"/>
    <n v="3"/>
  </r>
  <r>
    <n v="3"/>
    <x v="8"/>
    <x v="5"/>
    <n v="2"/>
    <n v="4"/>
    <n v="8.0000000000000071E-2"/>
    <m/>
    <n v="2.1872265999999998"/>
    <x v="0"/>
    <n v="-0.7"/>
    <s v="Hi"/>
    <x v="0"/>
    <n v="7"/>
  </r>
  <r>
    <n v="2"/>
    <x v="8"/>
    <x v="5"/>
    <n v="2"/>
    <n v="4"/>
    <n v="8.0000000000000071E-2"/>
    <m/>
    <n v="131.23359599999998"/>
    <x v="1"/>
    <n v="0.57000000000000006"/>
    <n v="0"/>
    <x v="136"/>
    <n v="394"/>
  </r>
  <r>
    <n v="1"/>
    <x v="8"/>
    <x v="5"/>
    <n v="2"/>
    <n v="4"/>
    <n v="8.0000000000000071E-2"/>
    <m/>
    <n v="412.29221409999997"/>
    <x v="2"/>
    <n v="0.16999999999999993"/>
    <n v="0"/>
    <x v="177"/>
    <n v="1237"/>
  </r>
  <r>
    <n v="3"/>
    <x v="8"/>
    <x v="5"/>
    <n v="1"/>
    <n v="3"/>
    <n v="-2.9999999999999805E-2"/>
    <m/>
    <n v="0.33333333333333331"/>
    <x v="0"/>
    <n v="1.0000000000000009E-2"/>
    <n v="0"/>
    <x v="3"/>
    <n v="1"/>
  </r>
  <r>
    <n v="2"/>
    <x v="8"/>
    <x v="5"/>
    <n v="1"/>
    <n v="3"/>
    <n v="-2.9999999999999805E-2"/>
    <m/>
    <n v="3.2808398999999997"/>
    <x v="0"/>
    <n v="-0.44999999999999996"/>
    <s v="Le"/>
    <x v="45"/>
    <n v="1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517">
  <r>
    <n v="3"/>
    <x v="0"/>
    <x v="0"/>
    <x v="0"/>
    <n v="3"/>
    <n v="1.08"/>
    <m/>
    <n v="2"/>
    <s v="Green"/>
    <n v="0.34000000000000008"/>
    <n v="0"/>
    <n v="2"/>
    <n v="6"/>
  </r>
  <r>
    <n v="2"/>
    <x v="0"/>
    <x v="0"/>
    <x v="0"/>
    <n v="3"/>
    <n v="1.08"/>
    <m/>
    <n v="123.57830289999998"/>
    <s v="Fairway"/>
    <n v="0.51"/>
    <n v="2"/>
    <n v="124"/>
    <n v="371"/>
  </r>
  <r>
    <n v="1"/>
    <x v="0"/>
    <x v="0"/>
    <x v="0"/>
    <n v="3"/>
    <n v="1.08"/>
    <m/>
    <n v="407.91776089999996"/>
    <s v="Tee"/>
    <n v="0.22999999999999998"/>
    <n v="0"/>
    <n v="408"/>
    <n v="1224"/>
  </r>
  <r>
    <n v="5"/>
    <x v="0"/>
    <x v="0"/>
    <x v="1"/>
    <n v="5"/>
    <n v="-0.17999999999999972"/>
    <m/>
    <n v="0.33333333333333331"/>
    <s v="Green"/>
    <n v="1.0000000000000009E-2"/>
    <n v="0"/>
    <n v="0"/>
    <n v="1"/>
  </r>
  <r>
    <n v="4"/>
    <x v="0"/>
    <x v="0"/>
    <x v="1"/>
    <n v="5"/>
    <n v="-0.17999999999999972"/>
    <m/>
    <n v="7.6552930999999997"/>
    <s v="Green"/>
    <n v="-0.1160000000000001"/>
    <s v="Hi"/>
    <n v="8"/>
    <n v="23"/>
  </r>
  <r>
    <n v="3"/>
    <x v="0"/>
    <x v="0"/>
    <x v="1"/>
    <n v="5"/>
    <n v="-0.17999999999999972"/>
    <m/>
    <n v="89.676290599999987"/>
    <s v="Rough"/>
    <n v="6.6000000000000059E-2"/>
    <n v="7"/>
    <n v="90"/>
    <n v="269"/>
  </r>
  <r>
    <n v="2"/>
    <x v="0"/>
    <x v="0"/>
    <x v="1"/>
    <n v="5"/>
    <n v="-0.17999999999999972"/>
    <m/>
    <n v="251.53105899999997"/>
    <s v="Rough"/>
    <n v="-0.21999999999999975"/>
    <n v="0"/>
    <n v="252"/>
    <n v="755"/>
  </r>
  <r>
    <n v="1"/>
    <x v="0"/>
    <x v="0"/>
    <x v="1"/>
    <n v="5"/>
    <n v="-0.17999999999999972"/>
    <m/>
    <n v="550.08748989999992"/>
    <s v="Tee"/>
    <n v="8.0000000000000071E-2"/>
    <n v="6"/>
    <n v="550"/>
    <n v="1650"/>
  </r>
  <r>
    <n v="3"/>
    <x v="0"/>
    <x v="0"/>
    <x v="2"/>
    <n v="3"/>
    <n v="0.12000000000000011"/>
    <m/>
    <n v="0.33333333333333331"/>
    <s v="Green"/>
    <n v="1.0000000000000009E-2"/>
    <n v="0"/>
    <n v="0"/>
    <n v="1"/>
  </r>
  <r>
    <n v="2"/>
    <x v="0"/>
    <x v="0"/>
    <x v="2"/>
    <n v="3"/>
    <n v="0.12000000000000011"/>
    <m/>
    <n v="6.5616797999999994"/>
    <s v="Green"/>
    <n v="-0.15799999999999992"/>
    <s v="Lo"/>
    <n v="7"/>
    <n v="20"/>
  </r>
  <r>
    <n v="1"/>
    <x v="0"/>
    <x v="0"/>
    <x v="2"/>
    <n v="3"/>
    <n v="0.12000000000000011"/>
    <m/>
    <n v="185.91426099999998"/>
    <s v="Tee"/>
    <n v="0.26800000000000002"/>
    <n v="6"/>
    <n v="186"/>
    <n v="558"/>
  </r>
  <r>
    <n v="5"/>
    <x v="0"/>
    <x v="0"/>
    <x v="3"/>
    <n v="5"/>
    <n v="-0.30499999999999972"/>
    <m/>
    <n v="0.66666666666666663"/>
    <s v="Green"/>
    <n v="1.0000000000000009E-2"/>
    <n v="0"/>
    <n v="1"/>
    <n v="2"/>
  </r>
  <r>
    <n v="4"/>
    <x v="0"/>
    <x v="0"/>
    <x v="3"/>
    <n v="5"/>
    <n v="-0.30499999999999972"/>
    <m/>
    <n v="6.5616797999999994"/>
    <s v="Green"/>
    <n v="-0.15799999999999992"/>
    <s v="Ri"/>
    <n v="7"/>
    <n v="20"/>
  </r>
  <r>
    <n v="3"/>
    <x v="0"/>
    <x v="0"/>
    <x v="3"/>
    <n v="5"/>
    <n v="-0.30499999999999972"/>
    <m/>
    <n v="15.310586199999999"/>
    <s v="Bunker"/>
    <n v="-0.37200000000000011"/>
    <n v="0"/>
    <n v="15"/>
    <n v="46"/>
  </r>
  <r>
    <n v="2"/>
    <x v="0"/>
    <x v="0"/>
    <x v="3"/>
    <n v="5"/>
    <n v="-0.30499999999999972"/>
    <m/>
    <n v="199.03762059999997"/>
    <s v="Fairway"/>
    <n v="-0.29000000000000004"/>
    <n v="14"/>
    <n v="199"/>
    <n v="597"/>
  </r>
  <r>
    <n v="1"/>
    <x v="0"/>
    <x v="0"/>
    <x v="3"/>
    <n v="5"/>
    <n v="-0.30499999999999972"/>
    <m/>
    <n v="507.43657119999995"/>
    <s v="Tee"/>
    <n v="0.50500000000000034"/>
    <n v="0"/>
    <n v="507"/>
    <n v="1522"/>
  </r>
  <r>
    <n v="4"/>
    <x v="0"/>
    <x v="0"/>
    <x v="4"/>
    <n v="4"/>
    <n v="1.9999999999999574E-2"/>
    <m/>
    <n v="0.66666666666666663"/>
    <s v="Green"/>
    <n v="1.0000000000000009E-2"/>
    <n v="0"/>
    <n v="1"/>
    <n v="2"/>
  </r>
  <r>
    <n v="3"/>
    <x v="0"/>
    <x v="0"/>
    <x v="4"/>
    <n v="4"/>
    <n v="1.9999999999999574E-2"/>
    <m/>
    <n v="7.6552930999999997"/>
    <s v="Green"/>
    <n v="-0.1160000000000001"/>
    <s v="Le"/>
    <n v="8"/>
    <n v="23"/>
  </r>
  <r>
    <n v="2"/>
    <x v="0"/>
    <x v="0"/>
    <x v="4"/>
    <n v="4"/>
    <n v="1.9999999999999574E-2"/>
    <m/>
    <n v="134.5144359"/>
    <s v="Fairway"/>
    <n v="1.6000000000000236E-2"/>
    <n v="0"/>
    <n v="135"/>
    <n v="404"/>
  </r>
  <r>
    <n v="1"/>
    <x v="0"/>
    <x v="0"/>
    <x v="4"/>
    <n v="4"/>
    <n v="1.9999999999999574E-2"/>
    <m/>
    <n v="387.13910819999995"/>
    <s v="Tee"/>
    <n v="0.10999999999999943"/>
    <n v="0"/>
    <n v="387"/>
    <n v="1161"/>
  </r>
  <r>
    <n v="6"/>
    <x v="0"/>
    <x v="0"/>
    <x v="5"/>
    <n v="6"/>
    <n v="-1.9169999999999998"/>
    <m/>
    <n v="0.33333333333333331"/>
    <s v="Green"/>
    <n v="1.0000000000000009E-2"/>
    <n v="0"/>
    <n v="0"/>
    <n v="1"/>
  </r>
  <r>
    <n v="5"/>
    <x v="0"/>
    <x v="0"/>
    <x v="5"/>
    <n v="6"/>
    <n v="-1.9169999999999998"/>
    <m/>
    <n v="0.66666666666666663"/>
    <s v="Green"/>
    <n v="-1"/>
    <s v="Le"/>
    <n v="1"/>
    <n v="2"/>
  </r>
  <r>
    <n v="4"/>
    <x v="0"/>
    <x v="0"/>
    <x v="5"/>
    <n v="6"/>
    <n v="-1.9169999999999998"/>
    <m/>
    <n v="1.3333333333333333"/>
    <s v="Green"/>
    <n v="-0.88000000000000012"/>
    <n v="0"/>
    <n v="1"/>
    <n v="4"/>
  </r>
  <r>
    <n v="3"/>
    <x v="0"/>
    <x v="0"/>
    <x v="5"/>
    <n v="6"/>
    <n v="-1.9169999999999998"/>
    <m/>
    <n v="21.872265999999996"/>
    <s v="Bunker"/>
    <n v="0.39999999999999991"/>
    <n v="0"/>
    <n v="22"/>
    <n v="66"/>
  </r>
  <r>
    <n v="2"/>
    <x v="0"/>
    <x v="0"/>
    <x v="5"/>
    <n v="6"/>
    <n v="-1.9169999999999998"/>
    <m/>
    <n v="188.10148759999998"/>
    <s v="Fairway"/>
    <n v="-0.33999999999999986"/>
    <n v="20"/>
    <n v="188"/>
    <n v="564"/>
  </r>
  <r>
    <n v="1"/>
    <x v="0"/>
    <x v="0"/>
    <x v="5"/>
    <n v="6"/>
    <n v="-1.9169999999999998"/>
    <m/>
    <n v="399.16885449999995"/>
    <s v="Tee"/>
    <n v="-0.10699999999999976"/>
    <n v="0"/>
    <n v="399"/>
    <n v="1198"/>
  </r>
  <r>
    <n v="4"/>
    <x v="0"/>
    <x v="0"/>
    <x v="6"/>
    <n v="4"/>
    <n v="0.16999999999999993"/>
    <m/>
    <n v="1.3333333333333333"/>
    <s v="Green"/>
    <n v="0.12999999999999989"/>
    <n v="0"/>
    <n v="1"/>
    <n v="4"/>
  </r>
  <r>
    <n v="3"/>
    <x v="0"/>
    <x v="0"/>
    <x v="6"/>
    <n v="4"/>
    <n v="0.16999999999999993"/>
    <m/>
    <n v="13.123359599999999"/>
    <s v="Green"/>
    <n v="-7.7999999999999847E-2"/>
    <s v="Le"/>
    <n v="13"/>
    <n v="39"/>
  </r>
  <r>
    <n v="2"/>
    <x v="0"/>
    <x v="0"/>
    <x v="6"/>
    <n v="4"/>
    <n v="0.16999999999999993"/>
    <m/>
    <n v="153.10586199999997"/>
    <s v="Fairway"/>
    <n v="-7.2000000000000064E-2"/>
    <n v="12"/>
    <n v="153"/>
    <n v="459"/>
  </r>
  <r>
    <n v="1"/>
    <x v="0"/>
    <x v="0"/>
    <x v="6"/>
    <n v="4"/>
    <n v="0.16999999999999993"/>
    <m/>
    <n v="426.50918699999994"/>
    <s v="Tee"/>
    <n v="0.18999999999999995"/>
    <n v="0"/>
    <n v="427"/>
    <n v="1280"/>
  </r>
  <r>
    <n v="3"/>
    <x v="0"/>
    <x v="0"/>
    <x v="7"/>
    <n v="3"/>
    <n v="0.12000000000000011"/>
    <m/>
    <n v="1.3333333333333333"/>
    <s v="Green"/>
    <n v="0.12999999999999989"/>
    <n v="0"/>
    <n v="1"/>
    <n v="4"/>
  </r>
  <r>
    <n v="2"/>
    <x v="0"/>
    <x v="0"/>
    <x v="7"/>
    <n v="3"/>
    <n v="0.12000000000000011"/>
    <m/>
    <n v="12.029746299999999"/>
    <s v="Green"/>
    <n v="-0.10199999999999987"/>
    <s v="Le"/>
    <n v="12"/>
    <n v="36"/>
  </r>
  <r>
    <n v="1"/>
    <x v="0"/>
    <x v="0"/>
    <x v="7"/>
    <n v="3"/>
    <n v="0.12000000000000011"/>
    <m/>
    <n v="189.19510089999997"/>
    <s v="Tee"/>
    <n v="9.2000000000000082E-2"/>
    <n v="11"/>
    <n v="189"/>
    <n v="568"/>
  </r>
  <r>
    <n v="5"/>
    <x v="0"/>
    <x v="0"/>
    <x v="8"/>
    <n v="5"/>
    <n v="-0.52500000000000036"/>
    <m/>
    <n v="0.33333333333333331"/>
    <s v="Green"/>
    <n v="1.0000000000000009E-2"/>
    <n v="0"/>
    <n v="0"/>
    <n v="1"/>
  </r>
  <r>
    <n v="4"/>
    <x v="0"/>
    <x v="0"/>
    <x v="8"/>
    <n v="5"/>
    <n v="-0.52500000000000036"/>
    <m/>
    <n v="1.6666666666666667"/>
    <s v="Green"/>
    <n v="-0.88000000000000012"/>
    <s v="Hi"/>
    <n v="2"/>
    <n v="5"/>
  </r>
  <r>
    <n v="3"/>
    <x v="0"/>
    <x v="0"/>
    <x v="8"/>
    <n v="5"/>
    <n v="-0.52500000000000036"/>
    <m/>
    <n v="15.857392849999998"/>
    <s v="Rough"/>
    <n v="0.3400000000000003"/>
    <n v="0"/>
    <n v="16"/>
    <n v="48"/>
  </r>
  <r>
    <n v="2"/>
    <x v="0"/>
    <x v="0"/>
    <x v="8"/>
    <n v="5"/>
    <n v="-0.52500000000000036"/>
    <m/>
    <n v="155.29308859999998"/>
    <s v="Fairway"/>
    <n v="-0.49000000000000021"/>
    <n v="0"/>
    <n v="155"/>
    <n v="466"/>
  </r>
  <r>
    <n v="1"/>
    <x v="0"/>
    <x v="0"/>
    <x v="8"/>
    <n v="5"/>
    <n v="-0.52500000000000036"/>
    <m/>
    <n v="477.90901209999998"/>
    <s v="Tee"/>
    <n v="0.49499999999999966"/>
    <n v="0"/>
    <n v="478"/>
    <n v="1434"/>
  </r>
  <r>
    <n v="5"/>
    <x v="0"/>
    <x v="0"/>
    <x v="9"/>
    <n v="5"/>
    <n v="-0.20999999999999996"/>
    <m/>
    <n v="1"/>
    <s v="Green"/>
    <n v="4.0000000000000036E-2"/>
    <n v="0"/>
    <n v="1"/>
    <n v="3"/>
  </r>
  <r>
    <n v="4"/>
    <x v="0"/>
    <x v="0"/>
    <x v="9"/>
    <n v="5"/>
    <n v="-0.20999999999999996"/>
    <m/>
    <n v="26.246719199999998"/>
    <s v="Fairway"/>
    <n v="0.35999999999999988"/>
    <n v="0"/>
    <n v="26"/>
    <n v="79"/>
  </r>
  <r>
    <n v="3"/>
    <x v="0"/>
    <x v="0"/>
    <x v="9"/>
    <n v="5"/>
    <n v="-0.20999999999999996"/>
    <m/>
    <n v="133.42082259999998"/>
    <s v="Rough"/>
    <n v="-0.25"/>
    <n v="0"/>
    <n v="133"/>
    <n v="400"/>
  </r>
  <r>
    <n v="2"/>
    <x v="0"/>
    <x v="0"/>
    <x v="9"/>
    <n v="5"/>
    <n v="-0.20999999999999996"/>
    <m/>
    <n v="266.84164519999996"/>
    <s v="Rough"/>
    <n v="-0.31999999999999984"/>
    <n v="0"/>
    <n v="267"/>
    <n v="801"/>
  </r>
  <r>
    <n v="1"/>
    <x v="0"/>
    <x v="0"/>
    <x v="9"/>
    <n v="5"/>
    <n v="-0.20999999999999996"/>
    <m/>
    <n v="530.40245049999999"/>
    <s v="Tee"/>
    <n v="-4.0000000000000036E-2"/>
    <n v="9"/>
    <n v="530"/>
    <n v="1591"/>
  </r>
  <r>
    <n v="3"/>
    <x v="0"/>
    <x v="0"/>
    <x v="10"/>
    <n v="3"/>
    <n v="-9.9999999999997868E-3"/>
    <m/>
    <n v="1"/>
    <s v="Green"/>
    <n v="4.0000000000000036E-2"/>
    <n v="0"/>
    <n v="1"/>
    <n v="3"/>
  </r>
  <r>
    <n v="2"/>
    <x v="0"/>
    <x v="0"/>
    <x v="10"/>
    <n v="3"/>
    <n v="-9.9999999999997868E-3"/>
    <m/>
    <n v="9.8425196999999987"/>
    <s v="Green"/>
    <n v="-7.0000000000000062E-2"/>
    <s v="Lo"/>
    <n v="10"/>
    <n v="30"/>
  </r>
  <r>
    <n v="1"/>
    <x v="0"/>
    <x v="0"/>
    <x v="10"/>
    <n v="3"/>
    <n v="-9.9999999999997868E-3"/>
    <m/>
    <n v="152.01224869999999"/>
    <s v="Tee"/>
    <n v="2.000000000000024E-2"/>
    <n v="9"/>
    <n v="152"/>
    <n v="456"/>
  </r>
  <r>
    <n v="4"/>
    <x v="0"/>
    <x v="0"/>
    <x v="11"/>
    <n v="4"/>
    <n v="0.41000000000000014"/>
    <m/>
    <n v="0.33333333333333331"/>
    <s v="Green"/>
    <n v="1.0000000000000009E-2"/>
    <n v="0"/>
    <n v="0"/>
    <n v="1"/>
  </r>
  <r>
    <n v="3"/>
    <x v="0"/>
    <x v="0"/>
    <x v="11"/>
    <n v="4"/>
    <n v="0.41000000000000014"/>
    <m/>
    <n v="2.1872265999999998"/>
    <s v="Green"/>
    <n v="-0.66999999999999993"/>
    <s v="Lo"/>
    <n v="2"/>
    <n v="7"/>
  </r>
  <r>
    <n v="2"/>
    <x v="0"/>
    <x v="0"/>
    <x v="11"/>
    <n v="4"/>
    <n v="0.41000000000000014"/>
    <m/>
    <n v="168.41644819999999"/>
    <s v="Fairway"/>
    <n v="0.74"/>
    <n v="2"/>
    <n v="168"/>
    <n v="505"/>
  </r>
  <r>
    <n v="1"/>
    <x v="0"/>
    <x v="0"/>
    <x v="11"/>
    <n v="4"/>
    <n v="0.41000000000000014"/>
    <m/>
    <n v="460.41119929999996"/>
    <s v="Tee"/>
    <n v="0.33000000000000007"/>
    <n v="0"/>
    <n v="460"/>
    <n v="1381"/>
  </r>
  <r>
    <n v="4"/>
    <x v="0"/>
    <x v="0"/>
    <x v="12"/>
    <n v="4"/>
    <n v="4.9999999999998934E-3"/>
    <m/>
    <n v="1.3333333333333333"/>
    <s v="Green"/>
    <n v="0.12999999999999989"/>
    <n v="0"/>
    <n v="1"/>
    <n v="4"/>
  </r>
  <r>
    <n v="3"/>
    <x v="0"/>
    <x v="0"/>
    <x v="12"/>
    <n v="4"/>
    <n v="4.9999999999998934E-3"/>
    <m/>
    <n v="7.6552930999999997"/>
    <s v="Green"/>
    <n v="-0.23599999999999999"/>
    <s v="Lo"/>
    <n v="8"/>
    <n v="23"/>
  </r>
  <r>
    <n v="2"/>
    <x v="0"/>
    <x v="0"/>
    <x v="12"/>
    <n v="4"/>
    <n v="4.9999999999998934E-3"/>
    <m/>
    <n v="152.01224869999999"/>
    <s v="Fairway"/>
    <n v="8.6000000000000076E-2"/>
    <n v="7"/>
    <n v="152"/>
    <n v="456"/>
  </r>
  <r>
    <n v="1"/>
    <x v="0"/>
    <x v="0"/>
    <x v="12"/>
    <n v="4"/>
    <n v="4.9999999999998934E-3"/>
    <m/>
    <n v="377.29658849999998"/>
    <s v="Tee"/>
    <n v="2.4999999999999911E-2"/>
    <n v="0"/>
    <n v="377"/>
    <n v="1132"/>
  </r>
  <r>
    <n v="4"/>
    <x v="0"/>
    <x v="0"/>
    <x v="13"/>
    <n v="4"/>
    <n v="-8.0000000000000071E-2"/>
    <m/>
    <n v="0.33333333333333331"/>
    <s v="Green"/>
    <n v="1.0000000000000009E-2"/>
    <n v="0"/>
    <n v="0"/>
    <n v="1"/>
  </r>
  <r>
    <n v="3"/>
    <x v="0"/>
    <x v="0"/>
    <x v="13"/>
    <n v="4"/>
    <n v="-8.0000000000000071E-2"/>
    <m/>
    <n v="4.3744531999999996"/>
    <s v="Green"/>
    <n v="-0.29800000000000004"/>
    <s v="Le"/>
    <n v="4"/>
    <n v="13"/>
  </r>
  <r>
    <n v="2"/>
    <x v="0"/>
    <x v="0"/>
    <x v="13"/>
    <n v="4"/>
    <n v="-8.0000000000000071E-2"/>
    <m/>
    <n v="134.5144359"/>
    <s v="Fairway"/>
    <n v="0.19800000000000018"/>
    <n v="0"/>
    <n v="135"/>
    <n v="404"/>
  </r>
  <r>
    <n v="1"/>
    <x v="0"/>
    <x v="0"/>
    <x v="13"/>
    <n v="4"/>
    <n v="-8.0000000000000071E-2"/>
    <m/>
    <n v="334.64566979999995"/>
    <s v="Tee"/>
    <n v="9.9999999999997868E-3"/>
    <n v="0"/>
    <n v="335"/>
    <n v="1004"/>
  </r>
  <r>
    <n v="5"/>
    <x v="0"/>
    <x v="0"/>
    <x v="14"/>
    <n v="5"/>
    <n v="-0.17999999999999972"/>
    <m/>
    <n v="0.33333333333333331"/>
    <s v="Green"/>
    <n v="1.0000000000000009E-2"/>
    <n v="0"/>
    <n v="0"/>
    <n v="1"/>
  </r>
  <r>
    <n v="4"/>
    <x v="0"/>
    <x v="0"/>
    <x v="14"/>
    <n v="5"/>
    <n v="-0.17999999999999972"/>
    <m/>
    <n v="4.9212598499999993"/>
    <s v="Green"/>
    <n v="-0.26400000000000001"/>
    <s v="Le"/>
    <n v="5"/>
    <n v="15"/>
  </r>
  <r>
    <n v="3"/>
    <x v="0"/>
    <x v="0"/>
    <x v="14"/>
    <n v="5"/>
    <n v="-0.17999999999999972"/>
    <m/>
    <n v="41.557305399999997"/>
    <s v="Rough"/>
    <n v="3.3999999999999808E-2"/>
    <n v="0"/>
    <n v="42"/>
    <n v="125"/>
  </r>
  <r>
    <n v="2"/>
    <x v="0"/>
    <x v="0"/>
    <x v="14"/>
    <n v="5"/>
    <n v="-0.17999999999999972"/>
    <m/>
    <n v="284.33945799999998"/>
    <s v="Fairway"/>
    <n v="0"/>
    <n v="0"/>
    <n v="284"/>
    <n v="853"/>
  </r>
  <r>
    <n v="1"/>
    <x v="0"/>
    <x v="0"/>
    <x v="14"/>
    <n v="5"/>
    <n v="-0.17999999999999972"/>
    <m/>
    <n v="577.42782239999997"/>
    <s v="Tee"/>
    <n v="4.000000000000048E-2"/>
    <n v="0"/>
    <n v="577"/>
    <n v="1732"/>
  </r>
  <r>
    <n v="3"/>
    <x v="0"/>
    <x v="0"/>
    <x v="15"/>
    <n v="3"/>
    <n v="0.20999999999999996"/>
    <m/>
    <n v="1.3342082259999999"/>
    <s v="Green"/>
    <n v="0.12999999999999989"/>
    <n v="0"/>
    <n v="1"/>
    <n v="4"/>
  </r>
  <r>
    <n v="2"/>
    <x v="0"/>
    <x v="0"/>
    <x v="15"/>
    <n v="3"/>
    <n v="0.20999999999999996"/>
    <m/>
    <n v="15.310586199999999"/>
    <s v="Green"/>
    <n v="-2.1999999999999797E-2"/>
    <s v="Ri"/>
    <n v="15"/>
    <n v="46"/>
  </r>
  <r>
    <n v="1"/>
    <x v="0"/>
    <x v="0"/>
    <x v="15"/>
    <n v="3"/>
    <n v="0.20999999999999996"/>
    <m/>
    <n v="226.37795309999998"/>
    <s v="Tee"/>
    <n v="0.10199999999999987"/>
    <n v="14"/>
    <n v="226"/>
    <n v="679"/>
  </r>
  <r>
    <n v="5"/>
    <x v="0"/>
    <x v="0"/>
    <x v="16"/>
    <n v="5"/>
    <n v="-1.1890000000000001"/>
    <m/>
    <n v="0.33333333333333331"/>
    <s v="Green"/>
    <n v="1.0000000000000009E-2"/>
    <n v="0"/>
    <n v="0"/>
    <n v="1"/>
  </r>
  <r>
    <n v="4"/>
    <x v="0"/>
    <x v="0"/>
    <x v="16"/>
    <n v="5"/>
    <n v="-1.1890000000000001"/>
    <m/>
    <n v="2.1872265999999998"/>
    <s v="Green"/>
    <n v="-0.66999999999999993"/>
    <s v="Le"/>
    <n v="2"/>
    <n v="7"/>
  </r>
  <r>
    <n v="3"/>
    <x v="0"/>
    <x v="0"/>
    <x v="16"/>
    <n v="5"/>
    <n v="-1.1890000000000001"/>
    <m/>
    <n v="21.872265999999996"/>
    <s v="Rough"/>
    <n v="0.24999999999999978"/>
    <n v="0"/>
    <n v="22"/>
    <n v="66"/>
  </r>
  <r>
    <n v="2"/>
    <x v="0"/>
    <x v="0"/>
    <x v="16"/>
    <n v="5"/>
    <n v="-1.1890000000000001"/>
    <m/>
    <n v="32.808398999999994"/>
    <s v="Rough"/>
    <n v="-1"/>
    <n v="0"/>
    <n v="33"/>
    <n v="98"/>
  </r>
  <r>
    <n v="1"/>
    <x v="0"/>
    <x v="0"/>
    <x v="16"/>
    <n v="5"/>
    <n v="-1.1890000000000001"/>
    <m/>
    <n v="300.74365749999998"/>
    <s v="Tee"/>
    <n v="0.22100000000000009"/>
    <n v="0"/>
    <n v="301"/>
    <n v="902"/>
  </r>
  <r>
    <n v="3"/>
    <x v="0"/>
    <x v="0"/>
    <x v="17"/>
    <n v="3"/>
    <n v="1.08"/>
    <m/>
    <n v="3.2808398999999997"/>
    <s v="Green"/>
    <n v="0.56000000000000005"/>
    <n v="0"/>
    <n v="3"/>
    <n v="10"/>
  </r>
  <r>
    <n v="2"/>
    <x v="0"/>
    <x v="0"/>
    <x v="17"/>
    <n v="3"/>
    <n v="1.08"/>
    <m/>
    <n v="121.39107629999999"/>
    <s v="Fairway"/>
    <n v="0.29000000000000004"/>
    <n v="3"/>
    <n v="121"/>
    <n v="364"/>
  </r>
  <r>
    <n v="1"/>
    <x v="0"/>
    <x v="0"/>
    <x v="17"/>
    <n v="3"/>
    <n v="1.08"/>
    <m/>
    <n v="419.94750719999996"/>
    <s v="Tee"/>
    <n v="0.22999999999999998"/>
    <n v="0"/>
    <n v="420"/>
    <n v="1260"/>
  </r>
  <r>
    <n v="3"/>
    <x v="1"/>
    <x v="1"/>
    <x v="0"/>
    <n v="3"/>
    <n v="0.97500000000000009"/>
    <m/>
    <n v="3.2808398999999997"/>
    <s v="Green"/>
    <n v="0.56000000000000005"/>
    <n v="0"/>
    <n v="3"/>
    <n v="10"/>
  </r>
  <r>
    <n v="2"/>
    <x v="1"/>
    <x v="1"/>
    <x v="0"/>
    <n v="3"/>
    <n v="0.97500000000000009"/>
    <m/>
    <n v="166.22922159999999"/>
    <s v="Fairway"/>
    <n v="0.52"/>
    <n v="3"/>
    <n v="166"/>
    <n v="499"/>
  </r>
  <r>
    <n v="1"/>
    <x v="1"/>
    <x v="1"/>
    <x v="0"/>
    <n v="3"/>
    <n v="0.97500000000000009"/>
    <m/>
    <n v="358.70516239999995"/>
    <s v="Tee"/>
    <n v="-0.10499999999999998"/>
    <n v="0"/>
    <n v="359"/>
    <n v="1076"/>
  </r>
  <r>
    <n v="4"/>
    <x v="1"/>
    <x v="1"/>
    <x v="1"/>
    <n v="4"/>
    <n v="-0.95000000000000018"/>
    <m/>
    <n v="0.33333333333333331"/>
    <s v="Green"/>
    <n v="1.0000000000000009E-2"/>
    <n v="0"/>
    <n v="0"/>
    <n v="1"/>
  </r>
  <r>
    <n v="3"/>
    <x v="1"/>
    <x v="1"/>
    <x v="1"/>
    <n v="4"/>
    <n v="-0.95000000000000018"/>
    <m/>
    <n v="1.6666666666666667"/>
    <s v="Green"/>
    <n v="-0.88000000000000012"/>
    <s v="Ri"/>
    <n v="2"/>
    <n v="5"/>
  </r>
  <r>
    <n v="2"/>
    <x v="1"/>
    <x v="1"/>
    <x v="1"/>
    <n v="4"/>
    <n v="-0.95000000000000018"/>
    <m/>
    <n v="8.7489063999999992"/>
    <s v="Fairway"/>
    <n v="-0.10000000000000009"/>
    <n v="0"/>
    <n v="9"/>
    <n v="26"/>
  </r>
  <r>
    <n v="1"/>
    <x v="1"/>
    <x v="1"/>
    <x v="1"/>
    <n v="4"/>
    <n v="-0.95000000000000018"/>
    <m/>
    <n v="168.41644819999999"/>
    <s v="Tee"/>
    <n v="2.0000000000000018E-2"/>
    <n v="8"/>
    <n v="168"/>
    <n v="505"/>
  </r>
  <r>
    <n v="5"/>
    <x v="1"/>
    <x v="1"/>
    <x v="2"/>
    <n v="5"/>
    <n v="-1.06"/>
    <m/>
    <n v="0.33333333333333331"/>
    <s v="Green"/>
    <n v="1.0000000000000009E-2"/>
    <n v="0"/>
    <n v="0"/>
    <n v="1"/>
  </r>
  <r>
    <n v="4"/>
    <x v="1"/>
    <x v="1"/>
    <x v="2"/>
    <n v="5"/>
    <n v="-1.06"/>
    <m/>
    <n v="1.6666666666666667"/>
    <s v="Green"/>
    <n v="-0.88000000000000012"/>
    <s v="Ri"/>
    <n v="2"/>
    <n v="5"/>
  </r>
  <r>
    <n v="3"/>
    <x v="1"/>
    <x v="1"/>
    <x v="2"/>
    <n v="5"/>
    <n v="-1.06"/>
    <m/>
    <n v="24.059492599999999"/>
    <s v="Green"/>
    <n v="0.16199999999999992"/>
    <s v="Ri"/>
    <n v="24"/>
    <n v="72"/>
  </r>
  <r>
    <n v="2"/>
    <x v="1"/>
    <x v="1"/>
    <x v="2"/>
    <n v="5"/>
    <n v="-1.06"/>
    <m/>
    <n v="129.04636939999997"/>
    <s v="Fairway"/>
    <n v="-0.38199999999999967"/>
    <n v="22"/>
    <n v="129"/>
    <n v="387"/>
  </r>
  <r>
    <n v="1"/>
    <x v="1"/>
    <x v="1"/>
    <x v="2"/>
    <n v="5"/>
    <n v="-1.06"/>
    <m/>
    <n v="344.48818949999998"/>
    <s v="Tee"/>
    <n v="2.9999999999999805E-2"/>
    <n v="0"/>
    <n v="344"/>
    <n v="1033"/>
  </r>
  <r>
    <n v="5"/>
    <x v="1"/>
    <x v="1"/>
    <x v="3"/>
    <n v="5"/>
    <n v="-0.92250000000000032"/>
    <m/>
    <n v="0.66666666666666663"/>
    <s v="Green"/>
    <n v="1.0000000000000009E-2"/>
    <n v="0"/>
    <n v="1"/>
    <n v="2"/>
  </r>
  <r>
    <n v="4"/>
    <x v="1"/>
    <x v="1"/>
    <x v="3"/>
    <n v="5"/>
    <n v="-0.92250000000000032"/>
    <m/>
    <n v="3.3333333333333335"/>
    <s v="Green"/>
    <n v="-0.39999999999999991"/>
    <s v="Ri"/>
    <n v="3"/>
    <n v="10"/>
  </r>
  <r>
    <n v="3"/>
    <x v="1"/>
    <x v="1"/>
    <x v="3"/>
    <n v="5"/>
    <n v="-0.92250000000000032"/>
    <m/>
    <n v="63.429571399999993"/>
    <s v="Fairway"/>
    <n v="9.000000000000008E-2"/>
    <n v="3"/>
    <n v="63"/>
    <n v="190"/>
  </r>
  <r>
    <n v="2"/>
    <x v="1"/>
    <x v="1"/>
    <x v="3"/>
    <n v="5"/>
    <n v="-0.92250000000000032"/>
    <m/>
    <n v="133.42082259999998"/>
    <s v="Rough"/>
    <n v="-0.55000000000000027"/>
    <n v="0"/>
    <n v="133"/>
    <n v="400"/>
  </r>
  <r>
    <n v="1"/>
    <x v="1"/>
    <x v="1"/>
    <x v="3"/>
    <n v="5"/>
    <n v="-0.92250000000000032"/>
    <m/>
    <n v="398.07524119999994"/>
    <s v="Tee"/>
    <n v="-7.2500000000000231E-2"/>
    <n v="0"/>
    <n v="398"/>
    <n v="1194"/>
  </r>
  <r>
    <n v="4"/>
    <x v="1"/>
    <x v="1"/>
    <x v="4"/>
    <n v="4"/>
    <n v="0.28000000000000025"/>
    <m/>
    <n v="1.3333333333333333"/>
    <s v="Green"/>
    <n v="0.12999999999999989"/>
    <n v="0"/>
    <n v="1"/>
    <n v="4"/>
  </r>
  <r>
    <n v="3"/>
    <x v="1"/>
    <x v="1"/>
    <x v="4"/>
    <n v="4"/>
    <n v="0.28000000000000025"/>
    <m/>
    <n v="15.310586199999999"/>
    <s v="Bunker"/>
    <n v="0.35000000000000009"/>
    <n v="0"/>
    <n v="15"/>
    <n v="46"/>
  </r>
  <r>
    <n v="2"/>
    <x v="1"/>
    <x v="1"/>
    <x v="4"/>
    <n v="4"/>
    <n v="0.28000000000000025"/>
    <m/>
    <n v="172.7909014"/>
    <s v="Fairway"/>
    <n v="-0.39999999999999991"/>
    <n v="14"/>
    <n v="173"/>
    <n v="518"/>
  </r>
  <r>
    <n v="1"/>
    <x v="1"/>
    <x v="1"/>
    <x v="4"/>
    <n v="4"/>
    <n v="0.28000000000000025"/>
    <m/>
    <n v="447.28783969999995"/>
    <s v="Tee"/>
    <n v="0.20000000000000018"/>
    <n v="0"/>
    <n v="447"/>
    <n v="1342"/>
  </r>
  <r>
    <n v="4"/>
    <x v="1"/>
    <x v="1"/>
    <x v="5"/>
    <n v="4"/>
    <n v="0.79"/>
    <m/>
    <n v="3"/>
    <s v="Green"/>
    <n v="0.56000000000000005"/>
    <n v="0"/>
    <n v="3"/>
    <n v="9"/>
  </r>
  <r>
    <n v="3"/>
    <x v="1"/>
    <x v="1"/>
    <x v="5"/>
    <n v="4"/>
    <n v="0.79"/>
    <m/>
    <n v="60.148731499999997"/>
    <s v="Fairway"/>
    <n v="0.14000000000000012"/>
    <n v="3"/>
    <n v="60"/>
    <n v="180"/>
  </r>
  <r>
    <n v="2"/>
    <x v="1"/>
    <x v="1"/>
    <x v="5"/>
    <n v="4"/>
    <n v="0.79"/>
    <m/>
    <n v="328.08398999999997"/>
    <s v="Fairway"/>
    <n v="0.17999999999999972"/>
    <n v="0"/>
    <n v="328"/>
    <n v="984"/>
  </r>
  <r>
    <n v="1"/>
    <x v="1"/>
    <x v="1"/>
    <x v="5"/>
    <n v="4"/>
    <n v="0.79"/>
    <m/>
    <n v="541.33858349999991"/>
    <s v="Tee"/>
    <n v="-8.9999999999999858E-2"/>
    <n v="0"/>
    <n v="541"/>
    <n v="1624"/>
  </r>
  <r>
    <n v="2"/>
    <x v="1"/>
    <x v="1"/>
    <x v="6"/>
    <n v="2"/>
    <n v="1.153"/>
    <m/>
    <n v="2.6666666666666665"/>
    <s v="Green"/>
    <n v="0.41999999999999993"/>
    <n v="0"/>
    <n v="3"/>
    <n v="8"/>
  </r>
  <r>
    <n v="1"/>
    <x v="1"/>
    <x v="1"/>
    <x v="6"/>
    <n v="2"/>
    <n v="1.153"/>
    <m/>
    <n v="194.66316739999999"/>
    <s v="Tee"/>
    <n v="0.7330000000000001"/>
    <n v="2"/>
    <n v="195"/>
    <n v="584"/>
  </r>
  <r>
    <n v="5"/>
    <x v="1"/>
    <x v="1"/>
    <x v="7"/>
    <n v="5"/>
    <n v="-0.17999999999999972"/>
    <m/>
    <n v="5.4680664999999991"/>
    <s v="Green"/>
    <n v="0.79800000000000004"/>
    <n v="0"/>
    <n v="5"/>
    <n v="16"/>
  </r>
  <r>
    <n v="4"/>
    <x v="1"/>
    <x v="1"/>
    <x v="7"/>
    <n v="5"/>
    <n v="-0.17999999999999972"/>
    <m/>
    <n v="14.216972899999998"/>
    <s v="Green"/>
    <n v="-0.72199999999999998"/>
    <s v="Lo"/>
    <n v="14"/>
    <n v="43"/>
  </r>
  <r>
    <n v="3"/>
    <x v="1"/>
    <x v="1"/>
    <x v="7"/>
    <n v="5"/>
    <n v="-0.17999999999999972"/>
    <m/>
    <n v="132.32720929999999"/>
    <s v="Fairway"/>
    <n v="-0.16599999999999993"/>
    <n v="13"/>
    <n v="132"/>
    <n v="397"/>
  </r>
  <r>
    <n v="2"/>
    <x v="1"/>
    <x v="1"/>
    <x v="7"/>
    <n v="5"/>
    <n v="-0.17999999999999972"/>
    <m/>
    <n v="351.04986929999995"/>
    <s v="Fairway"/>
    <n v="0.12000000000000011"/>
    <n v="0"/>
    <n v="351"/>
    <n v="1053"/>
  </r>
  <r>
    <n v="1"/>
    <x v="1"/>
    <x v="1"/>
    <x v="7"/>
    <n v="5"/>
    <n v="-0.17999999999999972"/>
    <m/>
    <n v="612.42344799999989"/>
    <s v="Tee"/>
    <n v="-0.20999999999999996"/>
    <n v="0"/>
    <n v="612"/>
    <n v="1837"/>
  </r>
  <r>
    <n v="4"/>
    <x v="1"/>
    <x v="1"/>
    <x v="8"/>
    <n v="4"/>
    <n v="-0.10999999999999988"/>
    <m/>
    <n v="1"/>
    <s v="Green"/>
    <n v="4.0000000000000036E-2"/>
    <n v="0"/>
    <n v="1"/>
    <n v="3"/>
  </r>
  <r>
    <n v="3"/>
    <x v="1"/>
    <x v="1"/>
    <x v="8"/>
    <n v="4"/>
    <n v="-0.10999999999999988"/>
    <m/>
    <n v="20.778652699999999"/>
    <s v="Rough"/>
    <n v="0.54999999999999982"/>
    <n v="0"/>
    <n v="21"/>
    <n v="62"/>
  </r>
  <r>
    <n v="2"/>
    <x v="1"/>
    <x v="1"/>
    <x v="8"/>
    <n v="4"/>
    <n v="-0.10999999999999988"/>
    <m/>
    <n v="106.08049009999999"/>
    <s v="Rough"/>
    <n v="-0.62999999999999989"/>
    <n v="0"/>
    <n v="106"/>
    <n v="318"/>
  </r>
  <r>
    <n v="1"/>
    <x v="1"/>
    <x v="1"/>
    <x v="8"/>
    <n v="4"/>
    <n v="-0.10999999999999988"/>
    <m/>
    <n v="321.52231019999999"/>
    <s v="Tee"/>
    <n v="-6.999999999999984E-2"/>
    <n v="0"/>
    <n v="322"/>
    <n v="965"/>
  </r>
  <r>
    <n v="3"/>
    <x v="1"/>
    <x v="1"/>
    <x v="9"/>
    <n v="3"/>
    <n v="-2.9999999999999805E-2"/>
    <m/>
    <n v="0.33333333333333331"/>
    <s v="Green"/>
    <n v="1.0000000000000009E-2"/>
    <n v="0"/>
    <n v="0"/>
    <n v="1"/>
  </r>
  <r>
    <n v="2"/>
    <x v="1"/>
    <x v="1"/>
    <x v="9"/>
    <n v="3"/>
    <n v="-2.9999999999999805E-2"/>
    <m/>
    <n v="2.1872265999999998"/>
    <s v="Green"/>
    <n v="-0.66999999999999993"/>
    <s v="Lo"/>
    <n v="2"/>
    <n v="7"/>
  </r>
  <r>
    <n v="1"/>
    <x v="1"/>
    <x v="1"/>
    <x v="9"/>
    <n v="3"/>
    <n v="-2.9999999999999805E-2"/>
    <m/>
    <n v="135.60804919999998"/>
    <s v="Tee"/>
    <n v="0.63000000000000012"/>
    <n v="2"/>
    <n v="136"/>
    <n v="407"/>
  </r>
  <r>
    <n v="5"/>
    <x v="1"/>
    <x v="1"/>
    <x v="10"/>
    <n v="5"/>
    <n v="-0.30499999999999972"/>
    <m/>
    <n v="0.66666666666666663"/>
    <s v="Green"/>
    <n v="1.0000000000000009E-2"/>
    <n v="0"/>
    <n v="1"/>
    <n v="2"/>
  </r>
  <r>
    <n v="4"/>
    <x v="1"/>
    <x v="1"/>
    <x v="10"/>
    <n v="5"/>
    <n v="-0.30499999999999972"/>
    <m/>
    <n v="7.6552930999999997"/>
    <s v="Green"/>
    <n v="-0.1160000000000001"/>
    <s v="Ri"/>
    <n v="8"/>
    <n v="23"/>
  </r>
  <r>
    <n v="3"/>
    <x v="1"/>
    <x v="1"/>
    <x v="10"/>
    <n v="5"/>
    <n v="-0.30499999999999972"/>
    <m/>
    <n v="134.5144359"/>
    <s v="Rough"/>
    <n v="0.25600000000000001"/>
    <n v="7"/>
    <n v="135"/>
    <n v="404"/>
  </r>
  <r>
    <n v="2"/>
    <x v="1"/>
    <x v="1"/>
    <x v="10"/>
    <n v="5"/>
    <n v="-0.30499999999999972"/>
    <m/>
    <n v="199.03762059999997"/>
    <s v="Recovery"/>
    <n v="-0.2799999999999998"/>
    <n v="0"/>
    <n v="199"/>
    <n v="597"/>
  </r>
  <r>
    <n v="1"/>
    <x v="1"/>
    <x v="1"/>
    <x v="10"/>
    <n v="5"/>
    <n v="-0.30499999999999972"/>
    <m/>
    <n v="510.71741109999994"/>
    <s v="Tee"/>
    <n v="-0.17499999999999982"/>
    <n v="0"/>
    <n v="511"/>
    <n v="1532"/>
  </r>
  <r>
    <n v="4"/>
    <x v="1"/>
    <x v="1"/>
    <x v="11"/>
    <n v="4"/>
    <n v="8.8499999999999801E-2"/>
    <m/>
    <n v="0.66666666666666663"/>
    <s v="Green"/>
    <n v="1.0000000000000009E-2"/>
    <n v="0"/>
    <n v="1"/>
    <n v="2"/>
  </r>
  <r>
    <n v="3"/>
    <x v="1"/>
    <x v="1"/>
    <x v="11"/>
    <n v="4"/>
    <n v="8.8499999999999801E-2"/>
    <m/>
    <n v="7.6552930999999997"/>
    <s v="Green"/>
    <n v="-0.1160000000000001"/>
    <s v="Hi"/>
    <n v="8"/>
    <n v="23"/>
  </r>
  <r>
    <n v="2"/>
    <x v="1"/>
    <x v="1"/>
    <x v="11"/>
    <n v="4"/>
    <n v="8.8499999999999801E-2"/>
    <m/>
    <n v="134.5144359"/>
    <s v="Fairway"/>
    <n v="1.6000000000000236E-2"/>
    <n v="7"/>
    <n v="135"/>
    <n v="404"/>
  </r>
  <r>
    <n v="1"/>
    <x v="1"/>
    <x v="1"/>
    <x v="11"/>
    <n v="4"/>
    <n v="8.8499999999999801E-2"/>
    <m/>
    <n v="400.26246779999997"/>
    <s v="Tee"/>
    <n v="0.17849999999999966"/>
    <n v="0"/>
    <n v="400"/>
    <n v="1201"/>
  </r>
  <r>
    <n v="4"/>
    <x v="1"/>
    <x v="1"/>
    <x v="12"/>
    <n v="4"/>
    <n v="-0.17499999999999982"/>
    <m/>
    <n v="0.33333333333333331"/>
    <s v="Green"/>
    <n v="1.0000000000000009E-2"/>
    <n v="0"/>
    <n v="0"/>
    <n v="1"/>
  </r>
  <r>
    <n v="3"/>
    <x v="1"/>
    <x v="1"/>
    <x v="12"/>
    <n v="4"/>
    <n v="-0.17499999999999982"/>
    <m/>
    <n v="6.5616797999999994"/>
    <s v="Green"/>
    <n v="-0.15799999999999992"/>
    <s v="Hi"/>
    <n v="7"/>
    <n v="20"/>
  </r>
  <r>
    <n v="2"/>
    <x v="1"/>
    <x v="1"/>
    <x v="12"/>
    <n v="4"/>
    <n v="-0.17499999999999982"/>
    <m/>
    <n v="82.020997499999993"/>
    <s v="Fairway"/>
    <n v="-0.10200000000000009"/>
    <n v="6"/>
    <n v="82"/>
    <n v="246"/>
  </r>
  <r>
    <n v="1"/>
    <x v="1"/>
    <x v="1"/>
    <x v="12"/>
    <n v="4"/>
    <n v="-0.17499999999999982"/>
    <m/>
    <n v="309.49256389999999"/>
    <s v="Tee"/>
    <n v="7.5000000000000178E-2"/>
    <n v="0"/>
    <n v="309"/>
    <n v="928"/>
  </r>
  <r>
    <n v="5"/>
    <x v="1"/>
    <x v="1"/>
    <x v="13"/>
    <n v="5"/>
    <n v="-1.08"/>
    <m/>
    <n v="0.33333333333333331"/>
    <s v="Green"/>
    <n v="1.0000000000000009E-2"/>
    <n v="0"/>
    <n v="0"/>
    <n v="1"/>
  </r>
  <r>
    <n v="4"/>
    <x v="1"/>
    <x v="1"/>
    <x v="13"/>
    <n v="5"/>
    <n v="-1.08"/>
    <m/>
    <n v="1"/>
    <s v="Green"/>
    <n v="-0.97"/>
    <s v="Hi"/>
    <n v="1"/>
    <n v="3"/>
  </r>
  <r>
    <n v="3"/>
    <x v="1"/>
    <x v="1"/>
    <x v="13"/>
    <n v="5"/>
    <n v="-1.08"/>
    <m/>
    <n v="7.6552930999999997"/>
    <s v="Green"/>
    <n v="-0.14600000000000013"/>
    <s v="Hi"/>
    <n v="8"/>
    <n v="23"/>
  </r>
  <r>
    <n v="2"/>
    <x v="1"/>
    <x v="1"/>
    <x v="13"/>
    <n v="5"/>
    <n v="-1.08"/>
    <m/>
    <n v="129.04636939999997"/>
    <s v="Rough"/>
    <n v="0.25600000000000001"/>
    <n v="7"/>
    <n v="129"/>
    <n v="387"/>
  </r>
  <r>
    <n v="1"/>
    <x v="1"/>
    <x v="1"/>
    <x v="13"/>
    <n v="5"/>
    <n v="-1.08"/>
    <m/>
    <n v="329.17760329999999"/>
    <s v="Tee"/>
    <n v="-0.22999999999999998"/>
    <n v="0"/>
    <n v="329"/>
    <n v="988"/>
  </r>
  <r>
    <n v="2"/>
    <x v="1"/>
    <x v="1"/>
    <x v="14"/>
    <n v="2"/>
    <n v="0.9700000000000002"/>
    <m/>
    <n v="1.6666666666666667"/>
    <s v="Green"/>
    <n v="0.12999999999999989"/>
    <n v="0"/>
    <n v="2"/>
    <n v="5"/>
  </r>
  <r>
    <n v="1"/>
    <x v="1"/>
    <x v="1"/>
    <x v="14"/>
    <n v="2"/>
    <n v="0.9700000000000002"/>
    <m/>
    <n v="129.04636939999997"/>
    <s v="Tee"/>
    <n v="0.8400000000000003"/>
    <n v="2"/>
    <n v="129"/>
    <n v="387"/>
  </r>
  <r>
    <n v="6"/>
    <x v="1"/>
    <x v="1"/>
    <x v="15"/>
    <n v="6"/>
    <n v="-2.29"/>
    <m/>
    <n v="0.33333333333333331"/>
    <s v="Green"/>
    <n v="1.0000000000000009E-2"/>
    <n v="0"/>
    <n v="0"/>
    <n v="1"/>
  </r>
  <r>
    <n v="5"/>
    <x v="1"/>
    <x v="1"/>
    <x v="15"/>
    <n v="6"/>
    <n v="-2.29"/>
    <m/>
    <n v="2.1872265999999998"/>
    <s v="Green"/>
    <n v="-0.66999999999999993"/>
    <s v="Ri"/>
    <n v="2"/>
    <n v="7"/>
  </r>
  <r>
    <n v="4"/>
    <x v="1"/>
    <x v="1"/>
    <x v="15"/>
    <n v="6"/>
    <n v="-2.29"/>
    <m/>
    <n v="21.872265999999996"/>
    <s v="Bunker"/>
    <n v="0.18999999999999972"/>
    <n v="0"/>
    <n v="22"/>
    <n v="66"/>
  </r>
  <r>
    <n v="3"/>
    <x v="1"/>
    <x v="1"/>
    <x v="15"/>
    <n v="6"/>
    <n v="-2.29"/>
    <m/>
    <n v="38.276465499999993"/>
    <s v="Recovery"/>
    <n v="0.27"/>
    <n v="0"/>
    <n v="38"/>
    <n v="115"/>
  </r>
  <r>
    <n v="2"/>
    <x v="1"/>
    <x v="1"/>
    <x v="15"/>
    <n v="6"/>
    <n v="-2.29"/>
    <m/>
    <n v="60.148731499999997"/>
    <s v="Recovery"/>
    <n v="-1"/>
    <n v="0"/>
    <n v="60"/>
    <n v="180"/>
  </r>
  <r>
    <n v="1"/>
    <x v="1"/>
    <x v="1"/>
    <x v="15"/>
    <n v="6"/>
    <n v="-2.29"/>
    <m/>
    <n v="276.68416489999998"/>
    <s v="Tee"/>
    <n v="-1.0899999999999999"/>
    <n v="0"/>
    <n v="277"/>
    <n v="830"/>
  </r>
  <r>
    <n v="4"/>
    <x v="1"/>
    <x v="1"/>
    <x v="16"/>
    <n v="4"/>
    <n v="0.74000000000000021"/>
    <m/>
    <n v="0.66666666666666663"/>
    <s v="Green"/>
    <n v="1.0000000000000009E-2"/>
    <n v="0"/>
    <n v="1"/>
    <n v="2"/>
  </r>
  <r>
    <n v="3"/>
    <x v="1"/>
    <x v="1"/>
    <x v="16"/>
    <n v="4"/>
    <n v="0.74000000000000021"/>
    <m/>
    <n v="4.3744531999999996"/>
    <s v="Green"/>
    <n v="-0.29800000000000004"/>
    <s v="Lo"/>
    <n v="4"/>
    <n v="13"/>
  </r>
  <r>
    <n v="2"/>
    <x v="1"/>
    <x v="1"/>
    <x v="16"/>
    <n v="4"/>
    <n v="0.74000000000000021"/>
    <m/>
    <n v="215.44182009999997"/>
    <s v="Fairway"/>
    <n v="0.60799999999999987"/>
    <n v="4"/>
    <n v="215"/>
    <n v="646"/>
  </r>
  <r>
    <n v="1"/>
    <x v="1"/>
    <x v="1"/>
    <x v="16"/>
    <n v="4"/>
    <n v="0.74000000000000021"/>
    <m/>
    <n v="513.99825099999998"/>
    <s v="Tee"/>
    <n v="0.42000000000000037"/>
    <n v="0"/>
    <n v="514"/>
    <n v="1542"/>
  </r>
  <r>
    <n v="5"/>
    <x v="1"/>
    <x v="1"/>
    <x v="17"/>
    <n v="5"/>
    <n v="-0.95000000000000018"/>
    <m/>
    <n v="0.33333333333333331"/>
    <s v="Green"/>
    <n v="1.0000000000000009E-2"/>
    <n v="0"/>
    <n v="0"/>
    <n v="1"/>
  </r>
  <r>
    <n v="4"/>
    <x v="1"/>
    <x v="1"/>
    <x v="17"/>
    <n v="5"/>
    <n v="-0.95000000000000018"/>
    <m/>
    <n v="0.66666666666666663"/>
    <s v="Green"/>
    <n v="-1"/>
    <n v="0"/>
    <n v="1"/>
    <n v="2"/>
  </r>
  <r>
    <n v="3"/>
    <x v="1"/>
    <x v="1"/>
    <x v="17"/>
    <n v="5"/>
    <n v="-0.95000000000000018"/>
    <m/>
    <n v="4.3744531999999996"/>
    <s v="Green"/>
    <n v="-0.29800000000000004"/>
    <s v="Lo"/>
    <n v="4"/>
    <n v="13"/>
  </r>
  <r>
    <n v="2"/>
    <x v="1"/>
    <x v="1"/>
    <x v="17"/>
    <n v="5"/>
    <n v="-0.95000000000000018"/>
    <m/>
    <n v="167.32283489999998"/>
    <s v="Fairway"/>
    <n v="0.3680000000000001"/>
    <n v="4"/>
    <n v="167"/>
    <n v="502"/>
  </r>
  <r>
    <n v="1"/>
    <x v="1"/>
    <x v="1"/>
    <x v="17"/>
    <n v="5"/>
    <n v="-0.95000000000000018"/>
    <m/>
    <n v="393.70078799999999"/>
    <s v="Tee"/>
    <n v="-3.0000000000000249E-2"/>
    <n v="0"/>
    <n v="394"/>
    <n v="1181"/>
  </r>
  <r>
    <n v="4"/>
    <x v="2"/>
    <x v="1"/>
    <x v="2"/>
    <n v="4"/>
    <n v="-6.0000000000000053E-2"/>
    <m/>
    <n v="0.33333333333333331"/>
    <s v="Green"/>
    <n v="1.0000000000000009E-2"/>
    <n v="0"/>
    <n v="0"/>
    <n v="1"/>
  </r>
  <r>
    <n v="3"/>
    <x v="2"/>
    <x v="1"/>
    <x v="2"/>
    <n v="4"/>
    <n v="-6.0000000000000053E-2"/>
    <m/>
    <n v="4.3744531999999996"/>
    <s v="Green"/>
    <n v="-0.29800000000000004"/>
    <s v="Hi"/>
    <n v="4"/>
    <n v="13"/>
  </r>
  <r>
    <n v="2"/>
    <x v="2"/>
    <x v="1"/>
    <x v="2"/>
    <n v="4"/>
    <n v="-6.0000000000000053E-2"/>
    <m/>
    <n v="164.04199499999999"/>
    <s v="Rough"/>
    <n v="0.51800000000000002"/>
    <n v="0"/>
    <n v="164"/>
    <n v="492"/>
  </r>
  <r>
    <n v="1"/>
    <x v="2"/>
    <x v="1"/>
    <x v="2"/>
    <n v="4"/>
    <n v="-6.0000000000000053E-2"/>
    <m/>
    <n v="344.48818949999998"/>
    <s v="Tee"/>
    <n v="-0.29000000000000004"/>
    <n v="0"/>
    <n v="344"/>
    <n v="1033"/>
  </r>
  <r>
    <n v="5"/>
    <x v="2"/>
    <x v="1"/>
    <x v="3"/>
    <n v="5"/>
    <n v="-0.92250000000000032"/>
    <m/>
    <n v="0.33333333333333331"/>
    <s v="Green"/>
    <n v="1.0000000000000009E-2"/>
    <n v="0"/>
    <n v="0"/>
    <n v="1"/>
  </r>
  <r>
    <n v="4"/>
    <x v="2"/>
    <x v="1"/>
    <x v="3"/>
    <n v="5"/>
    <n v="-0.92250000000000032"/>
    <m/>
    <n v="8.7489063999999992"/>
    <s v="Green"/>
    <n v="-7.0000000000000062E-2"/>
    <s v="Le"/>
    <n v="9"/>
    <n v="26"/>
  </r>
  <r>
    <n v="3"/>
    <x v="2"/>
    <x v="1"/>
    <x v="3"/>
    <n v="5"/>
    <n v="-0.92250000000000032"/>
    <m/>
    <n v="132.32720929999999"/>
    <s v="Rough"/>
    <n v="0.20999999999999996"/>
    <n v="0"/>
    <n v="132"/>
    <n v="397"/>
  </r>
  <r>
    <n v="2"/>
    <x v="2"/>
    <x v="1"/>
    <x v="3"/>
    <n v="5"/>
    <n v="-0.92250000000000032"/>
    <m/>
    <n v="136.7016625"/>
    <s v="Recovery"/>
    <n v="-0.35000000000000009"/>
    <n v="0"/>
    <n v="137"/>
    <n v="410"/>
  </r>
  <r>
    <n v="1"/>
    <x v="2"/>
    <x v="1"/>
    <x v="3"/>
    <n v="5"/>
    <n v="-0.92250000000000032"/>
    <m/>
    <n v="398.07524119999994"/>
    <s v="Tee"/>
    <n v="-0.72250000000000014"/>
    <n v="0"/>
    <n v="398"/>
    <n v="1194"/>
  </r>
  <r>
    <n v="4"/>
    <x v="2"/>
    <x v="1"/>
    <x v="4"/>
    <n v="4"/>
    <n v="0.28000000000000047"/>
    <m/>
    <n v="2"/>
    <s v="Green"/>
    <n v="0.34000000000000008"/>
    <n v="0"/>
    <n v="2"/>
    <n v="6"/>
  </r>
  <r>
    <n v="3"/>
    <x v="2"/>
    <x v="1"/>
    <x v="4"/>
    <n v="4"/>
    <n v="0.28000000000000047"/>
    <m/>
    <n v="13.123359599999999"/>
    <s v="Rough"/>
    <n v="0"/>
    <n v="0"/>
    <n v="13"/>
    <n v="39"/>
  </r>
  <r>
    <n v="2"/>
    <x v="2"/>
    <x v="1"/>
    <x v="4"/>
    <n v="4"/>
    <n v="0.28000000000000047"/>
    <m/>
    <n v="166.22922159999999"/>
    <s v="Fairway"/>
    <n v="-0.25999999999999979"/>
    <n v="12"/>
    <n v="166"/>
    <n v="499"/>
  </r>
  <r>
    <n v="1"/>
    <x v="2"/>
    <x v="1"/>
    <x v="4"/>
    <n v="4"/>
    <n v="0.28000000000000047"/>
    <m/>
    <n v="447.28783969999995"/>
    <s v="Tee"/>
    <n v="0.20000000000000018"/>
    <n v="0"/>
    <n v="447"/>
    <n v="1342"/>
  </r>
  <r>
    <n v="5"/>
    <x v="2"/>
    <x v="1"/>
    <x v="5"/>
    <n v="5"/>
    <n v="-0.20999999999999996"/>
    <m/>
    <n v="0.66666666666666663"/>
    <s v="Green"/>
    <n v="1.0000000000000009E-2"/>
    <n v="0"/>
    <n v="1"/>
    <n v="2"/>
  </r>
  <r>
    <n v="4"/>
    <x v="2"/>
    <x v="1"/>
    <x v="5"/>
    <n v="5"/>
    <n v="-0.20999999999999996"/>
    <m/>
    <n v="15.310586199999999"/>
    <s v="Green"/>
    <n v="9.8000000000000087E-2"/>
    <s v="Le"/>
    <n v="15"/>
    <n v="46"/>
  </r>
  <r>
    <n v="3"/>
    <x v="2"/>
    <x v="1"/>
    <x v="5"/>
    <n v="5"/>
    <n v="-0.20999999999999996"/>
    <m/>
    <n v="190.28871419999999"/>
    <s v="Fairway"/>
    <n v="8.1999999999999851E-2"/>
    <n v="0"/>
    <n v="190"/>
    <n v="571"/>
  </r>
  <r>
    <n v="2"/>
    <x v="2"/>
    <x v="1"/>
    <x v="5"/>
    <n v="5"/>
    <n v="-0.20999999999999996"/>
    <m/>
    <n v="351.04986929999995"/>
    <s v="Fairway"/>
    <n v="-0.1599999999999997"/>
    <n v="0"/>
    <n v="351"/>
    <n v="1053"/>
  </r>
  <r>
    <n v="1"/>
    <x v="2"/>
    <x v="1"/>
    <x v="5"/>
    <n v="5"/>
    <n v="-0.20999999999999996"/>
    <m/>
    <n v="541.33858349999991"/>
    <s v="Tee"/>
    <n v="-0.24000000000000021"/>
    <n v="0"/>
    <n v="541"/>
    <n v="1624"/>
  </r>
  <r>
    <n v="5"/>
    <x v="2"/>
    <x v="1"/>
    <x v="6"/>
    <n v="5"/>
    <n v="-1.915"/>
    <m/>
    <n v="0.33333333333333331"/>
    <s v="Green"/>
    <n v="1.0000000000000009E-2"/>
    <n v="0"/>
    <n v="0"/>
    <n v="1"/>
  </r>
  <r>
    <n v="4"/>
    <x v="2"/>
    <x v="1"/>
    <x v="6"/>
    <n v="5"/>
    <n v="-1.915"/>
    <m/>
    <n v="1.3333333333333333"/>
    <s v="Green"/>
    <n v="-0.88000000000000012"/>
    <n v="0"/>
    <n v="1"/>
    <n v="4"/>
  </r>
  <r>
    <n v="3"/>
    <x v="2"/>
    <x v="1"/>
    <x v="6"/>
    <n v="5"/>
    <n v="-1.915"/>
    <m/>
    <n v="4.3744531999999996"/>
    <s v="Green"/>
    <n v="-0.41799999999999993"/>
    <s v="Le"/>
    <n v="4"/>
    <n v="13"/>
  </r>
  <r>
    <n v="2"/>
    <x v="2"/>
    <x v="1"/>
    <x v="6"/>
    <n v="5"/>
    <n v="-1.915"/>
    <m/>
    <n v="37.182852199999999"/>
    <s v="Rough"/>
    <n v="6.7999999999999838E-2"/>
    <n v="0"/>
    <n v="37"/>
    <n v="112"/>
  </r>
  <r>
    <n v="1"/>
    <x v="2"/>
    <x v="1"/>
    <x v="6"/>
    <n v="5"/>
    <n v="-1.915"/>
    <m/>
    <n v="182.63342109999999"/>
    <s v="Tee"/>
    <n v="-0.69499999999999984"/>
    <n v="34"/>
    <n v="183"/>
    <n v="548"/>
  </r>
  <r>
    <n v="5"/>
    <x v="3"/>
    <x v="2"/>
    <x v="9"/>
    <n v="5"/>
    <n v="-1.9500000000000002"/>
    <m/>
    <n v="0.33333333333333331"/>
    <s v="Green"/>
    <n v="1.0000000000000009E-2"/>
    <n v="0"/>
    <n v="0"/>
    <n v="1"/>
  </r>
  <r>
    <n v="4"/>
    <x v="3"/>
    <x v="2"/>
    <x v="9"/>
    <n v="5"/>
    <n v="-1.9500000000000002"/>
    <m/>
    <n v="3.2808398999999997"/>
    <s v="Green"/>
    <n v="-0.44999999999999996"/>
    <s v="Le"/>
    <n v="3"/>
    <n v="10"/>
  </r>
  <r>
    <n v="2"/>
    <x v="3"/>
    <x v="2"/>
    <x v="9"/>
    <n v="5"/>
    <n v="-1.9500000000000002"/>
    <m/>
    <n v="21.872265999999996"/>
    <s v="Rough"/>
    <n v="-0.94"/>
    <n v="0"/>
    <n v="22"/>
    <n v="66"/>
  </r>
  <r>
    <n v="3"/>
    <x v="3"/>
    <x v="2"/>
    <x v="9"/>
    <n v="5"/>
    <n v="-1.9500000000000002"/>
    <m/>
    <n v="27.340332499999999"/>
    <s v="Bunker"/>
    <n v="-3.0000000000000249E-2"/>
    <n v="0"/>
    <n v="27"/>
    <n v="82"/>
  </r>
  <r>
    <n v="1"/>
    <x v="3"/>
    <x v="2"/>
    <x v="9"/>
    <n v="5"/>
    <n v="-1.9500000000000002"/>
    <m/>
    <n v="167.32283489999998"/>
    <s v="Tee"/>
    <n v="-0.54"/>
    <n v="0"/>
    <n v="167"/>
    <n v="502"/>
  </r>
  <r>
    <n v="4"/>
    <x v="3"/>
    <x v="2"/>
    <x v="10"/>
    <n v="4"/>
    <n v="0.82000000000000028"/>
    <m/>
    <n v="0.66666666666666663"/>
    <s v="Green"/>
    <n v="1.0000000000000009E-2"/>
    <n v="0"/>
    <n v="1"/>
    <n v="2"/>
  </r>
  <r>
    <n v="3"/>
    <x v="3"/>
    <x v="2"/>
    <x v="10"/>
    <n v="4"/>
    <n v="0.82000000000000028"/>
    <m/>
    <n v="37.182852199999999"/>
    <s v="Rough"/>
    <n v="0.7699999999999998"/>
    <n v="0"/>
    <n v="37"/>
    <n v="112"/>
  </r>
  <r>
    <n v="2"/>
    <x v="3"/>
    <x v="2"/>
    <x v="10"/>
    <n v="4"/>
    <n v="0.82000000000000028"/>
    <m/>
    <n v="157.48031519999998"/>
    <s v="Rough"/>
    <n v="-0.54999999999999982"/>
    <n v="0"/>
    <n v="157"/>
    <n v="472"/>
  </r>
  <r>
    <n v="1"/>
    <x v="3"/>
    <x v="2"/>
    <x v="10"/>
    <n v="4"/>
    <n v="0.82000000000000028"/>
    <m/>
    <n v="567.58530269999994"/>
    <s v="Tee"/>
    <n v="0.5900000000000003"/>
    <n v="0"/>
    <n v="568"/>
    <n v="1703"/>
  </r>
  <r>
    <n v="7"/>
    <x v="3"/>
    <x v="2"/>
    <x v="11"/>
    <n v="7"/>
    <n v="-2.7750000000000004"/>
    <m/>
    <n v="0.33333333333333331"/>
    <s v="Green"/>
    <n v="1.0000000000000009E-2"/>
    <n v="0"/>
    <n v="0"/>
    <n v="1"/>
  </r>
  <r>
    <n v="6"/>
    <x v="3"/>
    <x v="2"/>
    <x v="11"/>
    <n v="7"/>
    <n v="-2.7750000000000004"/>
    <m/>
    <n v="3.2808398999999997"/>
    <s v="Green"/>
    <n v="-0.44999999999999996"/>
    <s v="Le"/>
    <n v="3"/>
    <n v="10"/>
  </r>
  <r>
    <n v="5"/>
    <x v="3"/>
    <x v="2"/>
    <x v="11"/>
    <n v="7"/>
    <n v="-2.7750000000000004"/>
    <m/>
    <n v="14.216972899999998"/>
    <s v="Rough"/>
    <n v="-8.9999999999999858E-2"/>
    <n v="0"/>
    <n v="14"/>
    <n v="43"/>
  </r>
  <r>
    <n v="4"/>
    <x v="3"/>
    <x v="2"/>
    <x v="11"/>
    <n v="7"/>
    <n v="-2.7750000000000004"/>
    <m/>
    <n v="87.489063999999985"/>
    <s v="Fairway"/>
    <n v="-0.7200000000000002"/>
    <n v="0"/>
    <n v="87"/>
    <n v="262"/>
  </r>
  <r>
    <n v="3"/>
    <x v="3"/>
    <x v="2"/>
    <x v="11"/>
    <n v="7"/>
    <n v="-2.7750000000000004"/>
    <m/>
    <n v="153.10586199999997"/>
    <s v="Rough"/>
    <n v="-0.52"/>
    <n v="0"/>
    <n v="153"/>
    <n v="459"/>
  </r>
  <r>
    <n v="2"/>
    <x v="3"/>
    <x v="2"/>
    <x v="11"/>
    <n v="7"/>
    <n v="-2.7750000000000004"/>
    <m/>
    <n v="169.51006149999998"/>
    <s v="Recovery"/>
    <n v="-0.41000000000000014"/>
    <n v="0"/>
    <n v="170"/>
    <n v="509"/>
  </r>
  <r>
    <n v="1"/>
    <x v="3"/>
    <x v="2"/>
    <x v="11"/>
    <n v="7"/>
    <n v="-2.7750000000000004"/>
    <m/>
    <n v="431.97725349999996"/>
    <s v="Tee"/>
    <n v="-0.5950000000000002"/>
    <n v="0"/>
    <n v="432"/>
    <n v="1296"/>
  </r>
  <r>
    <n v="5"/>
    <x v="3"/>
    <x v="2"/>
    <x v="12"/>
    <n v="5"/>
    <n v="-1.79"/>
    <m/>
    <n v="1.6666666666666667"/>
    <s v="Green"/>
    <n v="0.12999999999999989"/>
    <n v="0"/>
    <n v="2"/>
    <n v="5"/>
  </r>
  <r>
    <n v="4"/>
    <x v="3"/>
    <x v="2"/>
    <x v="12"/>
    <n v="5"/>
    <n v="-1.79"/>
    <m/>
    <n v="7.6552930999999997"/>
    <s v="Green"/>
    <n v="-0.23599999999999999"/>
    <s v="Le"/>
    <n v="8"/>
    <n v="23"/>
  </r>
  <r>
    <n v="3"/>
    <x v="3"/>
    <x v="2"/>
    <x v="12"/>
    <n v="5"/>
    <n v="-1.79"/>
    <m/>
    <n v="15.310586199999999"/>
    <s v="Rough"/>
    <n v="-0.42399999999999971"/>
    <n v="0"/>
    <n v="15"/>
    <n v="46"/>
  </r>
  <r>
    <n v="2"/>
    <x v="3"/>
    <x v="2"/>
    <x v="12"/>
    <n v="5"/>
    <n v="-1.79"/>
    <m/>
    <n v="19.685039399999997"/>
    <s v="Rough"/>
    <n v="-0.88000000000000034"/>
    <n v="0"/>
    <n v="20"/>
    <n v="59"/>
  </r>
  <r>
    <n v="1"/>
    <x v="3"/>
    <x v="2"/>
    <x v="12"/>
    <n v="5"/>
    <n v="-1.79"/>
    <m/>
    <n v="222.00349989999998"/>
    <s v="Tee"/>
    <n v="-0.37999999999999989"/>
    <n v="18"/>
    <n v="222"/>
    <n v="666"/>
  </r>
  <r>
    <n v="4"/>
    <x v="3"/>
    <x v="2"/>
    <x v="13"/>
    <n v="4"/>
    <n v="0.28000000000000025"/>
    <m/>
    <n v="0.33333333333333331"/>
    <s v="Green"/>
    <n v="1.0000000000000009E-2"/>
    <n v="0"/>
    <n v="0"/>
    <n v="1"/>
  </r>
  <r>
    <n v="3"/>
    <x v="3"/>
    <x v="2"/>
    <x v="13"/>
    <n v="4"/>
    <n v="0.28000000000000025"/>
    <m/>
    <n v="6.5616797999999994"/>
    <s v="Green"/>
    <n v="-0.15799999999999992"/>
    <s v="Le"/>
    <n v="7"/>
    <n v="20"/>
  </r>
  <r>
    <n v="2"/>
    <x v="3"/>
    <x v="2"/>
    <x v="13"/>
    <n v="4"/>
    <n v="0.28000000000000025"/>
    <m/>
    <n v="156.38670189999999"/>
    <s v="Fairway"/>
    <n v="0.12799999999999989"/>
    <n v="6"/>
    <n v="156"/>
    <n v="469"/>
  </r>
  <r>
    <n v="1"/>
    <x v="3"/>
    <x v="2"/>
    <x v="13"/>
    <n v="4"/>
    <n v="0.28000000000000025"/>
    <m/>
    <n v="446.19422639999993"/>
    <s v="Tee"/>
    <n v="0.30000000000000027"/>
    <n v="0"/>
    <n v="446"/>
    <n v="1339"/>
  </r>
  <r>
    <n v="5"/>
    <x v="3"/>
    <x v="2"/>
    <x v="14"/>
    <n v="5"/>
    <n v="-0.17999999999999972"/>
    <m/>
    <n v="0.33333333333333331"/>
    <s v="Green"/>
    <n v="1.0000000000000009E-2"/>
    <n v="0"/>
    <n v="0"/>
    <n v="1"/>
  </r>
  <r>
    <n v="4"/>
    <x v="3"/>
    <x v="2"/>
    <x v="14"/>
    <n v="5"/>
    <n v="-0.17999999999999972"/>
    <m/>
    <n v="5.4680664999999991"/>
    <s v="Green"/>
    <n v="-0.21199999999999997"/>
    <s v="Hi"/>
    <n v="5"/>
    <n v="16"/>
  </r>
  <r>
    <n v="3"/>
    <x v="3"/>
    <x v="2"/>
    <x v="14"/>
    <n v="5"/>
    <n v="-0.17999999999999972"/>
    <m/>
    <n v="26.246719199999998"/>
    <s v="Rough"/>
    <n v="-0.20800000000000018"/>
    <n v="0"/>
    <n v="26"/>
    <n v="79"/>
  </r>
  <r>
    <n v="2"/>
    <x v="3"/>
    <x v="2"/>
    <x v="14"/>
    <n v="5"/>
    <n v="-0.17999999999999972"/>
    <m/>
    <n v="290.90113779999996"/>
    <s v="Rough"/>
    <n v="0.31000000000000005"/>
    <n v="24"/>
    <n v="291"/>
    <n v="873"/>
  </r>
  <r>
    <n v="1"/>
    <x v="3"/>
    <x v="2"/>
    <x v="14"/>
    <n v="5"/>
    <n v="-0.17999999999999972"/>
    <m/>
    <n v="551.18110319999994"/>
    <s v="Tee"/>
    <n v="-7.9999999999999627E-2"/>
    <n v="0"/>
    <n v="551"/>
    <n v="1654"/>
  </r>
  <r>
    <n v="5"/>
    <x v="3"/>
    <x v="2"/>
    <x v="15"/>
    <n v="5"/>
    <n v="-0.91999999999999993"/>
    <m/>
    <n v="2.6666666666666665"/>
    <s v="Green"/>
    <n v="0.41999999999999993"/>
    <n v="0"/>
    <n v="3"/>
    <n v="8"/>
  </r>
  <r>
    <n v="4"/>
    <x v="3"/>
    <x v="2"/>
    <x v="15"/>
    <n v="5"/>
    <n v="-0.91999999999999993"/>
    <m/>
    <n v="5.4680664999999991"/>
    <s v="Green"/>
    <n v="-0.62199999999999989"/>
    <s v="Lo"/>
    <n v="5"/>
    <n v="16"/>
  </r>
  <r>
    <n v="3"/>
    <x v="3"/>
    <x v="2"/>
    <x v="15"/>
    <n v="5"/>
    <n v="-0.91999999999999993"/>
    <m/>
    <n v="29.527559099999998"/>
    <s v="Rough"/>
    <n v="-0.20800000000000018"/>
    <n v="0"/>
    <n v="30"/>
    <n v="89"/>
  </r>
  <r>
    <n v="2"/>
    <x v="3"/>
    <x v="2"/>
    <x v="15"/>
    <n v="5"/>
    <n v="-0.91999999999999993"/>
    <m/>
    <n v="139.98250239999999"/>
    <s v="Rough"/>
    <n v="-0.43999999999999995"/>
    <n v="27"/>
    <n v="140"/>
    <n v="420"/>
  </r>
  <r>
    <n v="1"/>
    <x v="3"/>
    <x v="2"/>
    <x v="15"/>
    <n v="5"/>
    <n v="-0.91999999999999993"/>
    <m/>
    <n v="410.10498749999994"/>
    <s v="Tee"/>
    <n v="-6.999999999999984E-2"/>
    <n v="0"/>
    <n v="410"/>
    <n v="1230"/>
  </r>
  <r>
    <n v="4"/>
    <x v="3"/>
    <x v="2"/>
    <x v="16"/>
    <n v="4"/>
    <n v="0.16999999999999993"/>
    <m/>
    <n v="0.66666666666666663"/>
    <s v="Green"/>
    <n v="1.0000000000000009E-2"/>
    <n v="0"/>
    <n v="1"/>
    <n v="2"/>
  </r>
  <r>
    <n v="3"/>
    <x v="3"/>
    <x v="2"/>
    <x v="16"/>
    <n v="4"/>
    <n v="0.16999999999999993"/>
    <m/>
    <n v="4.3744531999999996"/>
    <s v="Green"/>
    <n v="-0.29800000000000004"/>
    <s v="Lo"/>
    <n v="4"/>
    <n v="13"/>
  </r>
  <r>
    <n v="2"/>
    <x v="3"/>
    <x v="2"/>
    <x v="16"/>
    <n v="4"/>
    <n v="0.16999999999999993"/>
    <m/>
    <n v="96.237970399999995"/>
    <s v="Fairway"/>
    <n v="8.7999999999999856E-2"/>
    <n v="4"/>
    <n v="96"/>
    <n v="289"/>
  </r>
  <r>
    <n v="1"/>
    <x v="3"/>
    <x v="2"/>
    <x v="16"/>
    <n v="4"/>
    <n v="0.16999999999999993"/>
    <m/>
    <n v="424.32196039999997"/>
    <s v="Tee"/>
    <n v="0.37000000000000011"/>
    <n v="0"/>
    <n v="424"/>
    <n v="1273"/>
  </r>
  <r>
    <n v="5"/>
    <x v="3"/>
    <x v="2"/>
    <x v="17"/>
    <n v="5"/>
    <n v="-0.9115000000000002"/>
    <m/>
    <n v="0.33333333333333331"/>
    <s v="Green"/>
    <n v="1.0000000000000009E-2"/>
    <n v="0"/>
    <n v="0"/>
    <n v="1"/>
  </r>
  <r>
    <n v="4"/>
    <x v="3"/>
    <x v="2"/>
    <x v="17"/>
    <n v="5"/>
    <n v="-0.9115000000000002"/>
    <m/>
    <n v="1"/>
    <s v="Green"/>
    <n v="-0.97"/>
    <s v="Ri"/>
    <n v="1"/>
    <n v="3"/>
  </r>
  <r>
    <n v="3"/>
    <x v="3"/>
    <x v="2"/>
    <x v="17"/>
    <n v="5"/>
    <n v="-0.9115000000000002"/>
    <m/>
    <n v="15.310586199999999"/>
    <s v="Green"/>
    <n v="6.800000000000006E-2"/>
    <s v="Ri"/>
    <n v="15"/>
    <n v="46"/>
  </r>
  <r>
    <n v="2"/>
    <x v="3"/>
    <x v="2"/>
    <x v="17"/>
    <n v="5"/>
    <n v="-0.9115000000000002"/>
    <m/>
    <n v="125.76552949999999"/>
    <s v="Rough"/>
    <n v="-2.8000000000000025E-2"/>
    <n v="14"/>
    <n v="126"/>
    <n v="377"/>
  </r>
  <r>
    <n v="1"/>
    <x v="3"/>
    <x v="2"/>
    <x v="17"/>
    <n v="5"/>
    <n v="-0.9115000000000002"/>
    <m/>
    <n v="400.26246779999997"/>
    <s v="Tee"/>
    <n v="8.49999999999973E-3"/>
    <n v="0"/>
    <n v="400"/>
    <n v="1201"/>
  </r>
  <r>
    <n v="4"/>
    <x v="4"/>
    <x v="0"/>
    <x v="0"/>
    <n v="4"/>
    <n v="8.0000000000000071E-2"/>
    <m/>
    <n v="1.3333333333333333"/>
    <s v="Green"/>
    <n v="0.12999999999999989"/>
    <n v="0"/>
    <n v="1"/>
    <n v="4"/>
  </r>
  <r>
    <n v="3"/>
    <x v="4"/>
    <x v="0"/>
    <x v="0"/>
    <n v="4"/>
    <n v="8.0000000000000071E-2"/>
    <m/>
    <n v="15.310586199999999"/>
    <s v="Rough"/>
    <n v="0.3400000000000003"/>
    <n v="0"/>
    <n v="15"/>
    <n v="46"/>
  </r>
  <r>
    <n v="2"/>
    <x v="4"/>
    <x v="0"/>
    <x v="0"/>
    <n v="4"/>
    <n v="8.0000000000000071E-2"/>
    <m/>
    <n v="134.5144359"/>
    <s v="Fairway"/>
    <n v="-0.56000000000000005"/>
    <n v="14"/>
    <n v="135"/>
    <n v="404"/>
  </r>
  <r>
    <n v="1"/>
    <x v="4"/>
    <x v="0"/>
    <x v="0"/>
    <n v="4"/>
    <n v="8.0000000000000071E-2"/>
    <m/>
    <n v="407.91776089999996"/>
    <s v="Tee"/>
    <n v="0.16999999999999993"/>
    <n v="0"/>
    <n v="408"/>
    <n v="1224"/>
  </r>
  <r>
    <n v="5"/>
    <x v="4"/>
    <x v="0"/>
    <x v="1"/>
    <n v="5"/>
    <n v="-0.17999999999999972"/>
    <m/>
    <n v="0.33333333333333331"/>
    <s v="Green"/>
    <n v="1.0000000000000009E-2"/>
    <n v="0"/>
    <n v="0"/>
    <n v="1"/>
  </r>
  <r>
    <n v="4"/>
    <x v="4"/>
    <x v="0"/>
    <x v="1"/>
    <n v="5"/>
    <n v="-0.17999999999999972"/>
    <m/>
    <n v="8.7489063999999992"/>
    <s v="Green"/>
    <n v="-7.0000000000000062E-2"/>
    <s v="Le"/>
    <n v="9"/>
    <n v="26"/>
  </r>
  <r>
    <n v="3"/>
    <x v="4"/>
    <x v="0"/>
    <x v="1"/>
    <n v="5"/>
    <n v="-0.17999999999999972"/>
    <m/>
    <n v="91.86351719999999"/>
    <s v="Fairway"/>
    <n v="-0.18999999999999995"/>
    <n v="8"/>
    <n v="92"/>
    <n v="276"/>
  </r>
  <r>
    <n v="2"/>
    <x v="4"/>
    <x v="0"/>
    <x v="1"/>
    <n v="5"/>
    <n v="-0.17999999999999972"/>
    <m/>
    <n v="240.59492599999999"/>
    <s v="Fairway"/>
    <n v="-0.16999999999999993"/>
    <n v="0"/>
    <n v="241"/>
    <n v="722"/>
  </r>
  <r>
    <n v="1"/>
    <x v="4"/>
    <x v="0"/>
    <x v="1"/>
    <n v="5"/>
    <n v="-0.17999999999999972"/>
    <m/>
    <n v="550.08748989999992"/>
    <s v="Tee"/>
    <n v="0.24000000000000021"/>
    <n v="0"/>
    <n v="550"/>
    <n v="1650"/>
  </r>
  <r>
    <n v="3"/>
    <x v="4"/>
    <x v="0"/>
    <x v="2"/>
    <n v="3"/>
    <n v="0.12000000000000011"/>
    <m/>
    <n v="0.33333333333333331"/>
    <s v="Green"/>
    <n v="1.0000000000000009E-2"/>
    <n v="0"/>
    <n v="0"/>
    <n v="1"/>
  </r>
  <r>
    <n v="2"/>
    <x v="4"/>
    <x v="0"/>
    <x v="2"/>
    <n v="3"/>
    <n v="0.12000000000000011"/>
    <m/>
    <n v="5.4680664999999991"/>
    <s v="Green"/>
    <n v="-0.21199999999999997"/>
    <s v="Le"/>
    <n v="5"/>
    <n v="16"/>
  </r>
  <r>
    <n v="1"/>
    <x v="4"/>
    <x v="0"/>
    <x v="2"/>
    <n v="3"/>
    <n v="0.12000000000000011"/>
    <m/>
    <n v="185.91426099999998"/>
    <s v="Tee"/>
    <n v="0.32200000000000006"/>
    <n v="5"/>
    <n v="186"/>
    <n v="558"/>
  </r>
  <r>
    <n v="4"/>
    <x v="4"/>
    <x v="0"/>
    <x v="3"/>
    <n v="4"/>
    <n v="0.69500000000000028"/>
    <m/>
    <n v="0.66666666666666663"/>
    <s v="Green"/>
    <n v="1.0000000000000009E-2"/>
    <n v="0"/>
    <n v="1"/>
    <n v="2"/>
  </r>
  <r>
    <n v="3"/>
    <x v="4"/>
    <x v="0"/>
    <x v="3"/>
    <n v="4"/>
    <n v="0.69500000000000028"/>
    <m/>
    <n v="10.936132999999998"/>
    <s v="Green"/>
    <n v="-1.4000000000000012E-2"/>
    <s v="Le"/>
    <n v="11"/>
    <n v="33"/>
  </r>
  <r>
    <n v="2"/>
    <x v="4"/>
    <x v="0"/>
    <x v="3"/>
    <n v="4"/>
    <n v="0.69500000000000028"/>
    <m/>
    <n v="235.12685949999997"/>
    <s v="Fairway"/>
    <n v="0.45400000000000018"/>
    <n v="10"/>
    <n v="235"/>
    <n v="705"/>
  </r>
  <r>
    <n v="1"/>
    <x v="4"/>
    <x v="0"/>
    <x v="3"/>
    <n v="4"/>
    <n v="0.69500000000000028"/>
    <m/>
    <n v="507.43657119999995"/>
    <s v="Tee"/>
    <n v="0.24500000000000011"/>
    <n v="0"/>
    <n v="507"/>
    <n v="1522"/>
  </r>
  <r>
    <n v="5"/>
    <x v="4"/>
    <x v="0"/>
    <x v="4"/>
    <n v="5"/>
    <n v="-0.98000000000000043"/>
    <m/>
    <n v="0.33333333333333331"/>
    <s v="Green"/>
    <n v="1.0000000000000009E-2"/>
    <n v="0"/>
    <n v="0"/>
    <n v="1"/>
  </r>
  <r>
    <n v="4"/>
    <x v="4"/>
    <x v="0"/>
    <x v="4"/>
    <n v="5"/>
    <n v="-0.98000000000000043"/>
    <m/>
    <n v="2.3333333333333335"/>
    <s v="Green"/>
    <n v="-0.59000000000000008"/>
    <s v="Le"/>
    <n v="2"/>
    <n v="7"/>
  </r>
  <r>
    <n v="3"/>
    <x v="4"/>
    <x v="0"/>
    <x v="4"/>
    <n v="5"/>
    <n v="-0.98000000000000043"/>
    <m/>
    <n v="13.123359599999999"/>
    <s v="Rough"/>
    <n v="-8.0000000000000071E-2"/>
    <n v="0"/>
    <n v="13"/>
    <n v="39"/>
  </r>
  <r>
    <n v="2"/>
    <x v="4"/>
    <x v="0"/>
    <x v="4"/>
    <n v="5"/>
    <n v="-0.98000000000000043"/>
    <m/>
    <n v="147.63779549999998"/>
    <s v="Rough"/>
    <n v="-0.10999999999999988"/>
    <n v="12"/>
    <n v="148"/>
    <n v="443"/>
  </r>
  <r>
    <n v="1"/>
    <x v="4"/>
    <x v="0"/>
    <x v="4"/>
    <n v="5"/>
    <n v="-0.98000000000000043"/>
    <m/>
    <n v="387.13910819999995"/>
    <s v="Tee"/>
    <n v="-0.21000000000000041"/>
    <n v="0"/>
    <n v="387"/>
    <n v="1161"/>
  </r>
  <r>
    <n v="5"/>
    <x v="4"/>
    <x v="0"/>
    <x v="5"/>
    <n v="5"/>
    <n v="-0.91699999999999982"/>
    <m/>
    <n v="0.33333333333333331"/>
    <s v="Green"/>
    <n v="1.0000000000000009E-2"/>
    <n v="0"/>
    <n v="0"/>
    <n v="1"/>
  </r>
  <r>
    <n v="4"/>
    <x v="4"/>
    <x v="0"/>
    <x v="5"/>
    <n v="5"/>
    <n v="-0.91699999999999982"/>
    <m/>
    <n v="1.3333333333333333"/>
    <s v="Green"/>
    <n v="-0.88000000000000012"/>
    <s v="Ri"/>
    <n v="1"/>
    <n v="4"/>
  </r>
  <r>
    <n v="3"/>
    <x v="4"/>
    <x v="0"/>
    <x v="5"/>
    <n v="5"/>
    <n v="-0.91699999999999982"/>
    <m/>
    <n v="19.685039399999997"/>
    <s v="Rough"/>
    <n v="0.45999999999999996"/>
    <n v="0"/>
    <n v="20"/>
    <n v="59"/>
  </r>
  <r>
    <n v="2"/>
    <x v="4"/>
    <x v="0"/>
    <x v="5"/>
    <n v="5"/>
    <n v="-0.91699999999999982"/>
    <m/>
    <n v="166.22922159999999"/>
    <s v="Fairway"/>
    <n v="-0.50999999999999979"/>
    <n v="18"/>
    <n v="166"/>
    <n v="499"/>
  </r>
  <r>
    <n v="1"/>
    <x v="4"/>
    <x v="0"/>
    <x v="5"/>
    <n v="5"/>
    <n v="-0.91699999999999982"/>
    <m/>
    <n v="399.16885449999995"/>
    <s v="Tee"/>
    <n v="3.0000000000001137E-3"/>
    <n v="0"/>
    <n v="399"/>
    <n v="1198"/>
  </r>
  <r>
    <n v="5"/>
    <x v="4"/>
    <x v="0"/>
    <x v="6"/>
    <n v="5"/>
    <n v="-0.83000000000000007"/>
    <m/>
    <n v="0.33333333333333331"/>
    <s v="Green"/>
    <n v="1.0000000000000009E-2"/>
    <n v="0"/>
    <n v="0"/>
    <n v="1"/>
  </r>
  <r>
    <n v="4"/>
    <x v="4"/>
    <x v="0"/>
    <x v="6"/>
    <n v="5"/>
    <n v="-0.83000000000000007"/>
    <m/>
    <n v="7.6552930999999997"/>
    <s v="Green"/>
    <n v="-0.1160000000000001"/>
    <s v="Ri"/>
    <n v="8"/>
    <n v="23"/>
  </r>
  <r>
    <n v="3"/>
    <x v="4"/>
    <x v="0"/>
    <x v="6"/>
    <n v="5"/>
    <n v="-0.83000000000000007"/>
    <m/>
    <n v="153.10586199999997"/>
    <s v="Fairway"/>
    <n v="8.6000000000000076E-2"/>
    <n v="7"/>
    <n v="153"/>
    <n v="459"/>
  </r>
  <r>
    <n v="2"/>
    <x v="4"/>
    <x v="0"/>
    <x v="6"/>
    <n v="5"/>
    <n v="-0.83000000000000007"/>
    <m/>
    <n v="168.41644819999999"/>
    <s v="Bunker"/>
    <n v="-0.58000000000000007"/>
    <n v="0"/>
    <n v="168"/>
    <n v="505"/>
  </r>
  <r>
    <n v="1"/>
    <x v="4"/>
    <x v="0"/>
    <x v="6"/>
    <n v="5"/>
    <n v="-0.83000000000000007"/>
    <m/>
    <n v="426.50918699999994"/>
    <s v="Tee"/>
    <n v="-0.22999999999999998"/>
    <n v="0"/>
    <n v="427"/>
    <n v="1280"/>
  </r>
  <r>
    <n v="4"/>
    <x v="4"/>
    <x v="0"/>
    <x v="7"/>
    <n v="4"/>
    <n v="-0.87999999999999989"/>
    <m/>
    <n v="0.33333333333333331"/>
    <s v="Green"/>
    <n v="1.0000000000000009E-2"/>
    <n v="0"/>
    <n v="0"/>
    <n v="1"/>
  </r>
  <r>
    <n v="3"/>
    <x v="4"/>
    <x v="0"/>
    <x v="7"/>
    <n v="4"/>
    <n v="-0.87999999999999989"/>
    <m/>
    <n v="2.6666666666666665"/>
    <s v="Green"/>
    <n v="-0.59000000000000008"/>
    <s v="Le"/>
    <n v="3"/>
    <n v="8"/>
  </r>
  <r>
    <n v="2"/>
    <x v="4"/>
    <x v="0"/>
    <x v="7"/>
    <n v="4"/>
    <n v="-0.87999999999999989"/>
    <m/>
    <n v="20.778652699999999"/>
    <s v="Bunker"/>
    <n v="0.10999999999999988"/>
    <n v="0"/>
    <n v="21"/>
    <n v="62"/>
  </r>
  <r>
    <n v="1"/>
    <x v="4"/>
    <x v="0"/>
    <x v="7"/>
    <n v="4"/>
    <n v="-0.87999999999999989"/>
    <m/>
    <n v="188.10148759999998"/>
    <s v="Tee"/>
    <n v="-0.4099999999999997"/>
    <n v="19"/>
    <n v="188"/>
    <n v="564"/>
  </r>
  <r>
    <n v="5"/>
    <x v="4"/>
    <x v="0"/>
    <x v="8"/>
    <n v="5"/>
    <n v="-0.52500000000000036"/>
    <m/>
    <n v="0.66666666666666663"/>
    <s v="Green"/>
    <n v="1.0000000000000009E-2"/>
    <n v="0"/>
    <n v="1"/>
    <n v="2"/>
  </r>
  <r>
    <n v="4"/>
    <x v="4"/>
    <x v="0"/>
    <x v="8"/>
    <n v="5"/>
    <n v="-0.52500000000000036"/>
    <m/>
    <n v="2.1872265999999998"/>
    <s v="Green"/>
    <n v="-0.66999999999999993"/>
    <s v="Hi"/>
    <n v="2"/>
    <n v="7"/>
  </r>
  <r>
    <n v="3"/>
    <x v="4"/>
    <x v="0"/>
    <x v="8"/>
    <n v="5"/>
    <n v="-0.52500000000000036"/>
    <m/>
    <n v="21.872265999999996"/>
    <s v="Rough"/>
    <n v="0.24999999999999978"/>
    <n v="0"/>
    <n v="22"/>
    <n v="66"/>
  </r>
  <r>
    <n v="2"/>
    <x v="4"/>
    <x v="0"/>
    <x v="8"/>
    <n v="5"/>
    <n v="-0.52500000000000036"/>
    <m/>
    <n v="202.31846049999999"/>
    <s v="Rough"/>
    <n v="-6.0000000000000053E-2"/>
    <n v="20"/>
    <n v="202"/>
    <n v="607"/>
  </r>
  <r>
    <n v="1"/>
    <x v="4"/>
    <x v="0"/>
    <x v="8"/>
    <n v="5"/>
    <n v="-0.52500000000000036"/>
    <m/>
    <n v="477.90901209999998"/>
    <s v="Tee"/>
    <n v="-5.500000000000016E-2"/>
    <n v="0"/>
    <n v="478"/>
    <n v="1434"/>
  </r>
  <r>
    <n v="6"/>
    <x v="4"/>
    <x v="0"/>
    <x v="9"/>
    <n v="6"/>
    <n v="-1.21"/>
    <m/>
    <n v="0.66666666666666663"/>
    <s v="Green"/>
    <n v="1.0000000000000009E-2"/>
    <n v="0"/>
    <n v="1"/>
    <n v="2"/>
  </r>
  <r>
    <n v="5"/>
    <x v="4"/>
    <x v="0"/>
    <x v="9"/>
    <n v="6"/>
    <n v="-1.21"/>
    <m/>
    <n v="21.872265999999996"/>
    <s v="Fairway"/>
    <n v="0.3899999999999999"/>
    <n v="0"/>
    <n v="22"/>
    <n v="66"/>
  </r>
  <r>
    <n v="4"/>
    <x v="4"/>
    <x v="0"/>
    <x v="9"/>
    <n v="6"/>
    <n v="-1.21"/>
    <m/>
    <n v="43.744531999999992"/>
    <s v="Fairway"/>
    <n v="-0.79999999999999982"/>
    <n v="0"/>
    <n v="44"/>
    <n v="131"/>
  </r>
  <r>
    <n v="3"/>
    <x v="4"/>
    <x v="0"/>
    <x v="9"/>
    <n v="6"/>
    <n v="-1.21"/>
    <m/>
    <n v="109.36133"/>
    <s v="Fairway"/>
    <n v="-0.80000000000000027"/>
    <n v="0"/>
    <n v="109"/>
    <n v="328"/>
  </r>
  <r>
    <n v="2"/>
    <x v="4"/>
    <x v="0"/>
    <x v="9"/>
    <n v="6"/>
    <n v="-1.21"/>
    <m/>
    <n v="377.29658849999998"/>
    <s v="Fairway"/>
    <n v="0.3100000000000005"/>
    <n v="0"/>
    <n v="377"/>
    <n v="1132"/>
  </r>
  <r>
    <n v="1"/>
    <x v="4"/>
    <x v="0"/>
    <x v="9"/>
    <n v="6"/>
    <n v="-1.21"/>
    <m/>
    <n v="530.40245049999999"/>
    <s v="Tee"/>
    <n v="-0.32000000000000028"/>
    <n v="0"/>
    <n v="530"/>
    <n v="1591"/>
  </r>
  <r>
    <n v="4"/>
    <x v="4"/>
    <x v="0"/>
    <x v="10"/>
    <n v="4"/>
    <n v="-0.95000000000000018"/>
    <m/>
    <n v="0.33333333333333331"/>
    <s v="Green"/>
    <n v="1.0000000000000009E-2"/>
    <n v="0"/>
    <n v="0"/>
    <n v="1"/>
  </r>
  <r>
    <n v="3"/>
    <x v="4"/>
    <x v="0"/>
    <x v="10"/>
    <n v="4"/>
    <n v="-0.95000000000000018"/>
    <m/>
    <n v="1.3333333333333333"/>
    <s v="Green"/>
    <n v="-0.88000000000000012"/>
    <s v="Lo"/>
    <n v="1"/>
    <n v="4"/>
  </r>
  <r>
    <n v="2"/>
    <x v="4"/>
    <x v="0"/>
    <x v="10"/>
    <n v="4"/>
    <n v="-0.95000000000000018"/>
    <m/>
    <n v="18.5914261"/>
    <s v="Green"/>
    <n v="4.0000000000000036E-2"/>
    <s v="Ri"/>
    <n v="19"/>
    <n v="56"/>
  </r>
  <r>
    <n v="1"/>
    <x v="4"/>
    <x v="0"/>
    <x v="10"/>
    <n v="4"/>
    <n v="-0.95000000000000018"/>
    <m/>
    <n v="168.41644819999999"/>
    <s v="Tee"/>
    <n v="-0.12000000000000011"/>
    <n v="17"/>
    <n v="168"/>
    <n v="505"/>
  </r>
  <r>
    <n v="4"/>
    <x v="4"/>
    <x v="0"/>
    <x v="11"/>
    <n v="4"/>
    <n v="0.41000000000000014"/>
    <m/>
    <n v="0.33333333333333331"/>
    <s v="Green"/>
    <n v="1.0000000000000009E-2"/>
    <n v="0"/>
    <n v="0"/>
    <n v="1"/>
  </r>
  <r>
    <n v="3"/>
    <x v="4"/>
    <x v="0"/>
    <x v="11"/>
    <n v="4"/>
    <n v="0.41000000000000014"/>
    <m/>
    <n v="6.5616797999999994"/>
    <s v="Green"/>
    <n v="-0.15799999999999992"/>
    <s v="Ri"/>
    <n v="7"/>
    <n v="20"/>
  </r>
  <r>
    <n v="2"/>
    <x v="4"/>
    <x v="0"/>
    <x v="11"/>
    <n v="4"/>
    <n v="0.41000000000000014"/>
    <m/>
    <n v="190.28871419999999"/>
    <s v="Fairway"/>
    <n v="0.33799999999999986"/>
    <n v="6"/>
    <n v="190"/>
    <n v="571"/>
  </r>
  <r>
    <n v="1"/>
    <x v="4"/>
    <x v="0"/>
    <x v="11"/>
    <n v="4"/>
    <n v="0.41000000000000014"/>
    <m/>
    <n v="460.41119929999996"/>
    <s v="Tee"/>
    <n v="0.2200000000000002"/>
    <n v="0"/>
    <n v="460"/>
    <n v="1381"/>
  </r>
  <r>
    <n v="5"/>
    <x v="4"/>
    <x v="0"/>
    <x v="12"/>
    <n v="5"/>
    <n v="-0.99500000000000011"/>
    <m/>
    <n v="0.33333333333333331"/>
    <s v="Green"/>
    <n v="1.0000000000000009E-2"/>
    <n v="0"/>
    <n v="0"/>
    <n v="1"/>
  </r>
  <r>
    <n v="4"/>
    <x v="4"/>
    <x v="0"/>
    <x v="12"/>
    <n v="5"/>
    <n v="-0.99500000000000011"/>
    <m/>
    <n v="4.3744531999999996"/>
    <s v="Green"/>
    <n v="-0.29800000000000004"/>
    <s v="Le"/>
    <n v="4"/>
    <n v="13"/>
  </r>
  <r>
    <n v="3"/>
    <x v="4"/>
    <x v="0"/>
    <x v="12"/>
    <n v="5"/>
    <n v="-0.99500000000000011"/>
    <m/>
    <n v="20.778652699999999"/>
    <s v="Green"/>
    <n v="-0.48799999999999977"/>
    <s v="Le"/>
    <n v="21"/>
    <n v="62"/>
  </r>
  <r>
    <n v="2"/>
    <x v="4"/>
    <x v="0"/>
    <x v="12"/>
    <n v="5"/>
    <n v="-0.99500000000000011"/>
    <m/>
    <n v="157.48031519999998"/>
    <s v="Fairway"/>
    <n v="-0.24400000000000022"/>
    <n v="19"/>
    <n v="157"/>
    <n v="472"/>
  </r>
  <r>
    <n v="1"/>
    <x v="4"/>
    <x v="0"/>
    <x v="12"/>
    <n v="5"/>
    <n v="-0.99500000000000011"/>
    <m/>
    <n v="377.29658849999998"/>
    <s v="Tee"/>
    <n v="2.4999999999999911E-2"/>
    <n v="0"/>
    <n v="377"/>
    <n v="1132"/>
  </r>
  <r>
    <n v="4"/>
    <x v="4"/>
    <x v="0"/>
    <x v="13"/>
    <n v="4"/>
    <n v="-8.0000000000000071E-2"/>
    <m/>
    <n v="2.6666666666666665"/>
    <s v="Green"/>
    <n v="0.41999999999999993"/>
    <n v="0"/>
    <n v="3"/>
    <n v="8"/>
  </r>
  <r>
    <n v="3"/>
    <x v="4"/>
    <x v="0"/>
    <x v="13"/>
    <n v="4"/>
    <n v="-8.0000000000000071E-2"/>
    <m/>
    <n v="13.123359599999999"/>
    <s v="Fairway"/>
    <n v="-0.23999999999999977"/>
    <n v="0"/>
    <n v="13"/>
    <n v="39"/>
  </r>
  <r>
    <n v="2"/>
    <x v="4"/>
    <x v="0"/>
    <x v="13"/>
    <n v="4"/>
    <n v="-8.0000000000000071E-2"/>
    <m/>
    <n v="119.20384969999999"/>
    <s v="Fairway"/>
    <n v="-0.33000000000000007"/>
    <n v="12"/>
    <n v="119"/>
    <n v="358"/>
  </r>
  <r>
    <n v="1"/>
    <x v="4"/>
    <x v="0"/>
    <x v="13"/>
    <n v="4"/>
    <n v="-8.0000000000000071E-2"/>
    <m/>
    <n v="334.64566979999995"/>
    <s v="Tee"/>
    <n v="6.999999999999984E-2"/>
    <n v="0"/>
    <n v="335"/>
    <n v="1004"/>
  </r>
  <r>
    <n v="5"/>
    <x v="4"/>
    <x v="0"/>
    <x v="14"/>
    <n v="5"/>
    <n v="-0.17999999999999972"/>
    <m/>
    <n v="8.7489063999999992"/>
    <s v="Fairway"/>
    <n v="1.0299999999999998"/>
    <n v="0"/>
    <n v="9"/>
    <n v="26"/>
  </r>
  <r>
    <n v="4"/>
    <x v="4"/>
    <x v="0"/>
    <x v="14"/>
    <n v="5"/>
    <n v="-0.17999999999999972"/>
    <m/>
    <n v="19.685039399999997"/>
    <s v="Rough"/>
    <n v="-0.43999999999999995"/>
    <n v="0"/>
    <n v="20"/>
    <n v="59"/>
  </r>
  <r>
    <n v="3"/>
    <x v="4"/>
    <x v="0"/>
    <x v="14"/>
    <n v="5"/>
    <n v="-0.17999999999999972"/>
    <m/>
    <n v="43.744531999999992"/>
    <s v="Rough"/>
    <n v="-0.81"/>
    <n v="0"/>
    <n v="44"/>
    <n v="131"/>
  </r>
  <r>
    <n v="2"/>
    <x v="4"/>
    <x v="0"/>
    <x v="14"/>
    <n v="5"/>
    <n v="-0.17999999999999972"/>
    <m/>
    <n v="275.59055159999997"/>
    <s v="Fairway"/>
    <n v="0"/>
    <n v="0"/>
    <n v="276"/>
    <n v="827"/>
  </r>
  <r>
    <n v="1"/>
    <x v="4"/>
    <x v="0"/>
    <x v="14"/>
    <n v="5"/>
    <n v="-0.17999999999999972"/>
    <m/>
    <n v="577.42782239999997"/>
    <s v="Tee"/>
    <n v="4.000000000000048E-2"/>
    <n v="0"/>
    <n v="577"/>
    <n v="1732"/>
  </r>
  <r>
    <n v="4"/>
    <x v="4"/>
    <x v="0"/>
    <x v="15"/>
    <n v="4"/>
    <n v="-0.79"/>
    <m/>
    <n v="0.33333333333333331"/>
    <s v="Green"/>
    <n v="1.0000000000000009E-2"/>
    <n v="0"/>
    <n v="0"/>
    <n v="1"/>
  </r>
  <r>
    <n v="3"/>
    <x v="4"/>
    <x v="0"/>
    <x v="15"/>
    <n v="4"/>
    <n v="-0.79"/>
    <m/>
    <n v="9.8425196999999987"/>
    <s v="Green"/>
    <n v="-4.0000000000000036E-2"/>
    <s v="Le"/>
    <n v="10"/>
    <n v="30"/>
  </r>
  <r>
    <n v="2"/>
    <x v="4"/>
    <x v="0"/>
    <x v="15"/>
    <n v="4"/>
    <n v="-0.79"/>
    <m/>
    <n v="18.5914261"/>
    <s v="Fairway"/>
    <n v="-0.57000000000000006"/>
    <n v="0"/>
    <n v="19"/>
    <n v="56"/>
  </r>
  <r>
    <n v="1"/>
    <x v="4"/>
    <x v="0"/>
    <x v="15"/>
    <n v="4"/>
    <n v="-0.79"/>
    <m/>
    <n v="220.90988659999999"/>
    <s v="Tee"/>
    <n v="-0.18999999999999995"/>
    <n v="17"/>
    <n v="221"/>
    <n v="663"/>
  </r>
  <r>
    <n v="4"/>
    <x v="4"/>
    <x v="0"/>
    <x v="16"/>
    <n v="4"/>
    <n v="-0.18900000000000006"/>
    <m/>
    <n v="0.33333333333333331"/>
    <s v="Green"/>
    <n v="1.0000000000000009E-2"/>
    <n v="0"/>
    <n v="0"/>
    <n v="1"/>
  </r>
  <r>
    <n v="3"/>
    <x v="4"/>
    <x v="0"/>
    <x v="16"/>
    <n v="4"/>
    <n v="-0.18900000000000006"/>
    <m/>
    <n v="2.1872265999999998"/>
    <s v="Green"/>
    <n v="-0.66999999999999993"/>
    <s v="Le"/>
    <n v="2"/>
    <n v="7"/>
  </r>
  <r>
    <n v="2"/>
    <x v="4"/>
    <x v="0"/>
    <x v="16"/>
    <n v="4"/>
    <n v="-0.18900000000000006"/>
    <m/>
    <n v="9.8425196999999987"/>
    <s v="Green"/>
    <n v="-0.37000000000000011"/>
    <s v="Ri"/>
    <n v="10"/>
    <n v="30"/>
  </r>
  <r>
    <n v="1"/>
    <x v="4"/>
    <x v="0"/>
    <x v="16"/>
    <n v="4"/>
    <n v="-0.18900000000000006"/>
    <m/>
    <n v="300.74365749999998"/>
    <s v="Tee"/>
    <n v="0.84099999999999997"/>
    <n v="0"/>
    <n v="301"/>
    <n v="902"/>
  </r>
  <r>
    <n v="4"/>
    <x v="4"/>
    <x v="0"/>
    <x v="17"/>
    <n v="4"/>
    <n v="8.0000000000000071E-2"/>
    <m/>
    <n v="1"/>
    <s v="Green"/>
    <n v="4.0000000000000036E-2"/>
    <n v="0"/>
    <n v="1"/>
    <n v="3"/>
  </r>
  <r>
    <n v="3"/>
    <x v="4"/>
    <x v="0"/>
    <x v="17"/>
    <n v="4"/>
    <n v="8.0000000000000071E-2"/>
    <m/>
    <n v="3.6666666666666665"/>
    <s v="Green"/>
    <n v="-0.42999999999999994"/>
    <s v="Lo"/>
    <n v="4"/>
    <n v="11"/>
  </r>
  <r>
    <n v="2"/>
    <x v="4"/>
    <x v="0"/>
    <x v="17"/>
    <n v="4"/>
    <n v="8.0000000000000071E-2"/>
    <m/>
    <n v="168.41644819999999"/>
    <s v="Fairway"/>
    <n v="0.47"/>
    <n v="3"/>
    <n v="168"/>
    <n v="505"/>
  </r>
  <r>
    <n v="1"/>
    <x v="4"/>
    <x v="0"/>
    <x v="17"/>
    <n v="4"/>
    <n v="8.0000000000000071E-2"/>
    <m/>
    <n v="419.94750719999996"/>
    <s v="Tee"/>
    <n v="0"/>
    <n v="0"/>
    <n v="420"/>
    <n v="1260"/>
  </r>
  <r>
    <n v="5"/>
    <x v="5"/>
    <x v="3"/>
    <x v="0"/>
    <n v="5"/>
    <n v="-0.17999999999999972"/>
    <m/>
    <n v="0.66666666666666663"/>
    <s v="Green"/>
    <n v="1.0000000000000009E-2"/>
    <n v="0"/>
    <n v="1"/>
    <n v="2"/>
  </r>
  <r>
    <n v="4"/>
    <x v="5"/>
    <x v="3"/>
    <x v="0"/>
    <n v="5"/>
    <n v="-0.17999999999999972"/>
    <m/>
    <n v="8.7489063999999992"/>
    <s v="Green"/>
    <n v="-7.0000000000000062E-2"/>
    <s v="Hi"/>
    <n v="9"/>
    <n v="26"/>
  </r>
  <r>
    <n v="3"/>
    <x v="5"/>
    <x v="3"/>
    <x v="0"/>
    <n v="5"/>
    <n v="-0.17999999999999972"/>
    <m/>
    <n v="40.463692099999996"/>
    <s v="Rough"/>
    <n v="-0.16000000000000014"/>
    <n v="8"/>
    <n v="40"/>
    <n v="121"/>
  </r>
  <r>
    <n v="2"/>
    <x v="5"/>
    <x v="3"/>
    <x v="0"/>
    <n v="5"/>
    <n v="-0.17999999999999972"/>
    <m/>
    <n v="258.09273879999995"/>
    <s v="Fairway"/>
    <n v="-8.9999999999999858E-2"/>
    <n v="36"/>
    <n v="258"/>
    <n v="774"/>
  </r>
  <r>
    <n v="1"/>
    <x v="5"/>
    <x v="3"/>
    <x v="0"/>
    <n v="5"/>
    <n v="-0.17999999999999972"/>
    <m/>
    <n v="566.49168939999993"/>
    <s v="Tee"/>
    <n v="0.13000000000000034"/>
    <n v="0"/>
    <n v="566"/>
    <n v="1699"/>
  </r>
  <r>
    <n v="3"/>
    <x v="5"/>
    <x v="3"/>
    <x v="1"/>
    <n v="3"/>
    <n v="8.4999999999999964E-2"/>
    <m/>
    <n v="1.3333333333333333"/>
    <s v="Green"/>
    <n v="0.12999999999999989"/>
    <n v="0"/>
    <n v="1"/>
    <n v="4"/>
  </r>
  <r>
    <n v="2"/>
    <x v="5"/>
    <x v="3"/>
    <x v="1"/>
    <n v="3"/>
    <n v="8.4999999999999964E-2"/>
    <m/>
    <n v="27.340332499999999"/>
    <s v="Rough"/>
    <n v="0.45999999999999996"/>
    <n v="0"/>
    <n v="27"/>
    <n v="82"/>
  </r>
  <r>
    <n v="1"/>
    <x v="5"/>
    <x v="3"/>
    <x v="1"/>
    <n v="3"/>
    <n v="8.4999999999999964E-2"/>
    <m/>
    <n v="174.97812799999997"/>
    <s v="Tee"/>
    <n v="-0.50499999999999989"/>
    <n v="25"/>
    <n v="175"/>
    <n v="525"/>
  </r>
  <r>
    <n v="3"/>
    <x v="5"/>
    <x v="3"/>
    <x v="2"/>
    <n v="3"/>
    <n v="0.89000000000000012"/>
    <m/>
    <n v="5.4680664999999991"/>
    <s v="Green"/>
    <n v="0.79800000000000004"/>
    <n v="0"/>
    <n v="5"/>
    <n v="16"/>
  </r>
  <r>
    <n v="2"/>
    <x v="5"/>
    <x v="3"/>
    <x v="2"/>
    <n v="3"/>
    <n v="0.89000000000000012"/>
    <m/>
    <n v="34.995625599999997"/>
    <s v="Rough"/>
    <n v="-0.20800000000000018"/>
    <n v="0"/>
    <n v="35"/>
    <n v="105"/>
  </r>
  <r>
    <n v="1"/>
    <x v="5"/>
    <x v="3"/>
    <x v="2"/>
    <n v="3"/>
    <n v="0.89000000000000012"/>
    <m/>
    <n v="322.61592349999995"/>
    <s v="Tee"/>
    <n v="0.30000000000000027"/>
    <n v="0"/>
    <n v="323"/>
    <n v="968"/>
  </r>
  <r>
    <n v="4"/>
    <x v="5"/>
    <x v="3"/>
    <x v="3"/>
    <n v="4"/>
    <n v="-6.0000000000000053E-2"/>
    <m/>
    <n v="1"/>
    <s v="Green"/>
    <n v="4.0000000000000036E-2"/>
    <n v="0"/>
    <n v="1"/>
    <n v="3"/>
  </r>
  <r>
    <n v="3"/>
    <x v="5"/>
    <x v="3"/>
    <x v="3"/>
    <n v="4"/>
    <n v="-6.0000000000000053E-2"/>
    <m/>
    <n v="15.310586199999999"/>
    <s v="Rough"/>
    <n v="0.43000000000000016"/>
    <n v="0"/>
    <n v="15"/>
    <n v="46"/>
  </r>
  <r>
    <n v="2"/>
    <x v="5"/>
    <x v="3"/>
    <x v="3"/>
    <n v="4"/>
    <n v="-6.0000000000000053E-2"/>
    <m/>
    <n v="118.11023639999999"/>
    <s v="Fairway"/>
    <n v="-0.62000000000000011"/>
    <n v="14"/>
    <n v="118"/>
    <n v="354"/>
  </r>
  <r>
    <n v="1"/>
    <x v="5"/>
    <x v="3"/>
    <x v="3"/>
    <n v="4"/>
    <n v="-6.0000000000000053E-2"/>
    <m/>
    <n v="344.48818949999998"/>
    <s v="Tee"/>
    <n v="8.9999999999999858E-2"/>
    <n v="0"/>
    <n v="344"/>
    <n v="1033"/>
  </r>
  <r>
    <n v="3"/>
    <x v="5"/>
    <x v="3"/>
    <x v="4"/>
    <n v="3"/>
    <n v="4.9999999999999822E-2"/>
    <m/>
    <n v="1.6666666666666667"/>
    <s v="Green"/>
    <n v="0.12999999999999989"/>
    <n v="0"/>
    <n v="2"/>
    <n v="5"/>
  </r>
  <r>
    <n v="2"/>
    <x v="5"/>
    <x v="3"/>
    <x v="4"/>
    <n v="3"/>
    <n v="4.9999999999999822E-2"/>
    <m/>
    <n v="21.872265999999996"/>
    <s v="Fairway"/>
    <n v="0.27"/>
    <n v="0"/>
    <n v="22"/>
    <n v="66"/>
  </r>
  <r>
    <n v="1"/>
    <x v="5"/>
    <x v="3"/>
    <x v="4"/>
    <n v="3"/>
    <n v="4.9999999999999822E-2"/>
    <m/>
    <n v="170.60367479999999"/>
    <s v="Tee"/>
    <n v="-0.35000000000000009"/>
    <n v="20"/>
    <n v="171"/>
    <n v="512"/>
  </r>
  <r>
    <n v="5"/>
    <x v="5"/>
    <x v="3"/>
    <x v="5"/>
    <n v="5"/>
    <n v="-0.91999999999999993"/>
    <m/>
    <n v="0.33333333333333331"/>
    <s v="Green"/>
    <n v="1.0000000000000009E-2"/>
    <n v="0"/>
    <n v="0"/>
    <n v="1"/>
  </r>
  <r>
    <n v="4"/>
    <x v="5"/>
    <x v="3"/>
    <x v="5"/>
    <n v="5"/>
    <n v="-0.91999999999999993"/>
    <m/>
    <n v="2.6666666666666665"/>
    <s v="Green"/>
    <n v="-0.59000000000000008"/>
    <s v="Ri"/>
    <n v="3"/>
    <n v="8"/>
  </r>
  <r>
    <n v="3"/>
    <x v="5"/>
    <x v="3"/>
    <x v="5"/>
    <n v="5"/>
    <n v="-0.91999999999999993"/>
    <m/>
    <n v="13.123359599999999"/>
    <s v="Rough"/>
    <n v="-8.0000000000000071E-2"/>
    <n v="0"/>
    <n v="13"/>
    <n v="39"/>
  </r>
  <r>
    <n v="2"/>
    <x v="5"/>
    <x v="3"/>
    <x v="5"/>
    <n v="5"/>
    <n v="-0.91999999999999993"/>
    <m/>
    <n v="181.53980779999998"/>
    <s v="Fairway"/>
    <n v="-0.25999999999999979"/>
    <n v="12"/>
    <n v="182"/>
    <n v="545"/>
  </r>
  <r>
    <n v="1"/>
    <x v="5"/>
    <x v="3"/>
    <x v="5"/>
    <n v="5"/>
    <n v="-0.91999999999999993"/>
    <m/>
    <n v="402.44969439999994"/>
    <s v="Tee"/>
    <n v="0"/>
    <n v="0"/>
    <n v="402"/>
    <n v="1207"/>
  </r>
  <r>
    <n v="7"/>
    <x v="5"/>
    <x v="3"/>
    <x v="6"/>
    <n v="7"/>
    <n v="-2.1799999999999997"/>
    <m/>
    <n v="1.3333333333333333"/>
    <s v="Green"/>
    <n v="0.12999999999999989"/>
    <n v="0"/>
    <n v="1"/>
    <n v="4"/>
  </r>
  <r>
    <n v="6"/>
    <x v="5"/>
    <x v="3"/>
    <x v="6"/>
    <n v="7"/>
    <n v="-2.1799999999999997"/>
    <m/>
    <n v="6.5616797999999994"/>
    <s v="Green"/>
    <n v="-0.2779999999999998"/>
    <s v="Hi"/>
    <n v="7"/>
    <n v="20"/>
  </r>
  <r>
    <n v="5"/>
    <x v="5"/>
    <x v="3"/>
    <x v="6"/>
    <n v="7"/>
    <n v="-2.1799999999999997"/>
    <m/>
    <n v="76.552930999999987"/>
    <s v="Fairway"/>
    <n v="-0.10200000000000009"/>
    <n v="6"/>
    <n v="77"/>
    <n v="230"/>
  </r>
  <r>
    <n v="4"/>
    <x v="5"/>
    <x v="3"/>
    <x v="6"/>
    <n v="7"/>
    <n v="-2.1799999999999997"/>
    <m/>
    <n v="328.08398999999997"/>
    <s v="Rough"/>
    <n v="0.26999999999999957"/>
    <n v="0"/>
    <n v="328"/>
    <n v="984"/>
  </r>
  <r>
    <n v="3"/>
    <x v="5"/>
    <x v="3"/>
    <x v="6"/>
    <n v="7"/>
    <n v="-2.1799999999999997"/>
    <m/>
    <n v="328.08398999999997"/>
    <s v="Recovery"/>
    <n v="-0.57999999999999918"/>
    <n v="0"/>
    <n v="328"/>
    <n v="984"/>
  </r>
  <r>
    <n v="2"/>
    <x v="5"/>
    <x v="3"/>
    <x v="6"/>
    <n v="7"/>
    <n v="-2.1799999999999997"/>
    <m/>
    <n v="328.08398999999997"/>
    <s v="Recovery"/>
    <n v="-1"/>
    <n v="0"/>
    <n v="328"/>
    <n v="984"/>
  </r>
  <r>
    <n v="1"/>
    <x v="5"/>
    <x v="3"/>
    <x v="6"/>
    <n v="7"/>
    <n v="-2.1799999999999997"/>
    <m/>
    <n v="575.24059579999994"/>
    <s v="Tee"/>
    <n v="-0.62000000000000011"/>
    <n v="0"/>
    <n v="575"/>
    <n v="1726"/>
  </r>
  <r>
    <n v="4"/>
    <x v="5"/>
    <x v="3"/>
    <x v="7"/>
    <n v="4"/>
    <n v="-6.0000000000000053E-2"/>
    <m/>
    <n v="0.33333333333333331"/>
    <s v="Green"/>
    <n v="1.0000000000000009E-2"/>
    <n v="0"/>
    <n v="0"/>
    <n v="1"/>
  </r>
  <r>
    <n v="3"/>
    <x v="5"/>
    <x v="3"/>
    <x v="7"/>
    <n v="4"/>
    <n v="-6.0000000000000053E-2"/>
    <m/>
    <n v="4.3744531999999996"/>
    <s v="Green"/>
    <n v="-0.29800000000000004"/>
    <s v="Lo"/>
    <n v="4"/>
    <n v="13"/>
  </r>
  <r>
    <n v="2"/>
    <x v="5"/>
    <x v="3"/>
    <x v="7"/>
    <n v="4"/>
    <n v="-6.0000000000000053E-2"/>
    <m/>
    <n v="113.73578319999999"/>
    <s v="Fairway"/>
    <n v="0.13800000000000012"/>
    <n v="4"/>
    <n v="114"/>
    <n v="341"/>
  </r>
  <r>
    <n v="1"/>
    <x v="5"/>
    <x v="3"/>
    <x v="7"/>
    <n v="4"/>
    <n v="-6.0000000000000053E-2"/>
    <m/>
    <n v="352.14348259999997"/>
    <s v="Tee"/>
    <n v="8.9999999999999858E-2"/>
    <n v="0"/>
    <n v="352"/>
    <n v="1056"/>
  </r>
  <r>
    <n v="4"/>
    <x v="5"/>
    <x v="3"/>
    <x v="8"/>
    <n v="4"/>
    <n v="0.22499999999999964"/>
    <m/>
    <n v="2.3333333333333335"/>
    <s v="Green"/>
    <n v="0.41999999999999993"/>
    <n v="0"/>
    <n v="2"/>
    <n v="7"/>
  </r>
  <r>
    <n v="3"/>
    <x v="5"/>
    <x v="3"/>
    <x v="8"/>
    <n v="4"/>
    <n v="0.22499999999999964"/>
    <m/>
    <n v="17.497812799999998"/>
    <s v="Green"/>
    <n v="-0.26799999999999979"/>
    <s v="Lo"/>
    <n v="17"/>
    <n v="52"/>
  </r>
  <r>
    <n v="2"/>
    <x v="5"/>
    <x v="3"/>
    <x v="8"/>
    <n v="4"/>
    <n v="0.22499999999999964"/>
    <m/>
    <n v="174.97812799999997"/>
    <s v="Fairway"/>
    <n v="-7.2000000000000064E-2"/>
    <n v="16"/>
    <n v="175"/>
    <n v="525"/>
  </r>
  <r>
    <n v="1"/>
    <x v="5"/>
    <x v="3"/>
    <x v="8"/>
    <n v="4"/>
    <n v="0.22499999999999964"/>
    <m/>
    <n v="438.53893329999994"/>
    <s v="Tee"/>
    <n v="0.14499999999999957"/>
    <n v="0"/>
    <n v="439"/>
    <n v="1316"/>
  </r>
  <r>
    <n v="6"/>
    <x v="5"/>
    <x v="3"/>
    <x v="9"/>
    <n v="6"/>
    <n v="-1.21"/>
    <m/>
    <n v="0.33333333333333331"/>
    <s v="Green"/>
    <n v="1.0000000000000009E-2"/>
    <n v="0"/>
    <n v="0"/>
    <n v="1"/>
  </r>
  <r>
    <n v="5"/>
    <x v="5"/>
    <x v="3"/>
    <x v="9"/>
    <n v="6"/>
    <n v="-1.21"/>
    <m/>
    <n v="6.5616797999999994"/>
    <s v="Green"/>
    <n v="-0.15799999999999992"/>
    <s v="Lo"/>
    <n v="7"/>
    <n v="20"/>
  </r>
  <r>
    <n v="4"/>
    <x v="5"/>
    <x v="3"/>
    <x v="9"/>
    <n v="6"/>
    <n v="-1.21"/>
    <m/>
    <n v="54.680664999999998"/>
    <s v="Rough"/>
    <n v="-7.2000000000000286E-2"/>
    <n v="6"/>
    <n v="55"/>
    <n v="164"/>
  </r>
  <r>
    <n v="2"/>
    <x v="5"/>
    <x v="3"/>
    <x v="9"/>
    <n v="6"/>
    <n v="-1.21"/>
    <m/>
    <n v="284.33945799999998"/>
    <s v="Recovery"/>
    <n v="-0.63999999999999968"/>
    <n v="0"/>
    <n v="284"/>
    <n v="853"/>
  </r>
  <r>
    <n v="3"/>
    <x v="5"/>
    <x v="3"/>
    <x v="9"/>
    <n v="6"/>
    <n v="-1.21"/>
    <m/>
    <n v="295.27559099999996"/>
    <s v="Fairway"/>
    <n v="6.0000000000000053E-2"/>
    <n v="0"/>
    <n v="295"/>
    <n v="886"/>
  </r>
  <r>
    <n v="1"/>
    <x v="5"/>
    <x v="3"/>
    <x v="9"/>
    <n v="6"/>
    <n v="-1.21"/>
    <m/>
    <n v="542.43219679999993"/>
    <s v="Tee"/>
    <n v="-0.41000000000000014"/>
    <n v="0"/>
    <n v="542"/>
    <n v="1627"/>
  </r>
  <r>
    <n v="3"/>
    <x v="5"/>
    <x v="3"/>
    <x v="10"/>
    <n v="3"/>
    <n v="-9.9999999999997868E-3"/>
    <m/>
    <n v="0.33333333333333331"/>
    <s v="Green"/>
    <n v="1.0000000000000009E-2"/>
    <n v="0"/>
    <n v="0"/>
    <n v="1"/>
  </r>
  <r>
    <n v="2"/>
    <x v="5"/>
    <x v="3"/>
    <x v="10"/>
    <n v="3"/>
    <n v="-9.9999999999997868E-3"/>
    <m/>
    <n v="6.5616797999999994"/>
    <s v="Green"/>
    <n v="-0.15799999999999992"/>
    <s v="Hi"/>
    <n v="7"/>
    <n v="20"/>
  </r>
  <r>
    <n v="1"/>
    <x v="5"/>
    <x v="3"/>
    <x v="10"/>
    <n v="3"/>
    <n v="-9.9999999999997868E-3"/>
    <m/>
    <n v="153.10586199999997"/>
    <s v="Tee"/>
    <n v="0.13800000000000012"/>
    <n v="0"/>
    <n v="153"/>
    <n v="459"/>
  </r>
  <r>
    <n v="4"/>
    <x v="5"/>
    <x v="3"/>
    <x v="11"/>
    <n v="4"/>
    <n v="8.0000000000000071E-2"/>
    <m/>
    <n v="1"/>
    <s v="Green"/>
    <n v="4.0000000000000036E-2"/>
    <n v="0"/>
    <n v="1"/>
    <n v="3"/>
  </r>
  <r>
    <n v="3"/>
    <x v="5"/>
    <x v="3"/>
    <x v="11"/>
    <n v="4"/>
    <n v="8.0000000000000071E-2"/>
    <m/>
    <n v="10.936132999999998"/>
    <s v="Green"/>
    <n v="-4.4000000000000039E-2"/>
    <s v="Lo"/>
    <n v="11"/>
    <n v="33"/>
  </r>
  <r>
    <n v="2"/>
    <x v="5"/>
    <x v="3"/>
    <x v="11"/>
    <n v="4"/>
    <n v="8.0000000000000071E-2"/>
    <m/>
    <n v="124.67191619999998"/>
    <s v="Fairway"/>
    <n v="-0.14599999999999991"/>
    <n v="10"/>
    <n v="125"/>
    <n v="374"/>
  </r>
  <r>
    <n v="1"/>
    <x v="5"/>
    <x v="3"/>
    <x v="11"/>
    <n v="4"/>
    <n v="8.0000000000000071E-2"/>
    <m/>
    <n v="410.10498749999994"/>
    <s v="Tee"/>
    <n v="0.22999999999999998"/>
    <n v="0"/>
    <n v="410"/>
    <n v="1230"/>
  </r>
  <r>
    <n v="5"/>
    <x v="5"/>
    <x v="3"/>
    <x v="12"/>
    <n v="5"/>
    <n v="-0.99500000000000011"/>
    <m/>
    <n v="0.66666666666666663"/>
    <s v="Green"/>
    <n v="1.0000000000000009E-2"/>
    <n v="0"/>
    <n v="1"/>
    <n v="2"/>
  </r>
  <r>
    <n v="4"/>
    <x v="5"/>
    <x v="3"/>
    <x v="12"/>
    <n v="5"/>
    <n v="-0.99500000000000011"/>
    <m/>
    <n v="2"/>
    <s v="Green"/>
    <n v="-0.66999999999999993"/>
    <s v="Ri"/>
    <n v="2"/>
    <n v="6"/>
  </r>
  <r>
    <n v="3"/>
    <x v="5"/>
    <x v="3"/>
    <x v="12"/>
    <n v="5"/>
    <n v="-0.99500000000000011"/>
    <m/>
    <n v="12.029746299999999"/>
    <s v="Green"/>
    <n v="-0.31200000000000006"/>
    <s v="Lo"/>
    <n v="12"/>
    <n v="36"/>
  </r>
  <r>
    <n v="2"/>
    <x v="5"/>
    <x v="3"/>
    <x v="12"/>
    <n v="5"/>
    <n v="-0.99500000000000011"/>
    <m/>
    <n v="131.23359599999998"/>
    <s v="Fairway"/>
    <n v="-0.11799999999999988"/>
    <n v="11"/>
    <n v="131"/>
    <n v="394"/>
  </r>
  <r>
    <n v="1"/>
    <x v="5"/>
    <x v="3"/>
    <x v="12"/>
    <n v="5"/>
    <n v="-0.99500000000000011"/>
    <m/>
    <n v="382.76465499999995"/>
    <s v="Tee"/>
    <n v="9.4999999999999751E-2"/>
    <n v="0"/>
    <n v="383"/>
    <n v="1148"/>
  </r>
  <r>
    <n v="4"/>
    <x v="5"/>
    <x v="3"/>
    <x v="13"/>
    <n v="4"/>
    <n v="-0.87999999999999989"/>
    <m/>
    <n v="0.66666666666666663"/>
    <s v="Green"/>
    <n v="1.0000000000000009E-2"/>
    <n v="0"/>
    <n v="1"/>
    <n v="2"/>
  </r>
  <r>
    <n v="3"/>
    <x v="5"/>
    <x v="3"/>
    <x v="13"/>
    <n v="4"/>
    <n v="-0.87999999999999989"/>
    <m/>
    <n v="15.310586199999999"/>
    <s v="Rough"/>
    <n v="0.46000000000000019"/>
    <n v="0"/>
    <n v="15"/>
    <n v="46"/>
  </r>
  <r>
    <n v="2"/>
    <x v="5"/>
    <x v="3"/>
    <x v="13"/>
    <n v="4"/>
    <n v="-0.87999999999999989"/>
    <m/>
    <n v="21.872265999999996"/>
    <s v="Rough"/>
    <n v="-0.88000000000000034"/>
    <n v="0"/>
    <n v="22"/>
    <n v="66"/>
  </r>
  <r>
    <n v="1"/>
    <x v="5"/>
    <x v="3"/>
    <x v="13"/>
    <n v="4"/>
    <n v="-0.87999999999999989"/>
    <m/>
    <n v="190.28871419999999"/>
    <s v="Tee"/>
    <n v="-0.46999999999999975"/>
    <n v="20"/>
    <n v="190"/>
    <n v="571"/>
  </r>
  <r>
    <n v="4"/>
    <x v="5"/>
    <x v="3"/>
    <x v="14"/>
    <n v="4"/>
    <n v="0.16999999999999993"/>
    <m/>
    <n v="1"/>
    <s v="Green"/>
    <n v="4.0000000000000036E-2"/>
    <n v="0"/>
    <n v="1"/>
    <n v="3"/>
  </r>
  <r>
    <n v="3"/>
    <x v="5"/>
    <x v="3"/>
    <x v="14"/>
    <n v="4"/>
    <n v="0.16999999999999993"/>
    <m/>
    <n v="18.5914261"/>
    <s v="Rough"/>
    <n v="0.54999999999999982"/>
    <n v="1"/>
    <n v="19"/>
    <n v="56"/>
  </r>
  <r>
    <n v="2"/>
    <x v="5"/>
    <x v="3"/>
    <x v="14"/>
    <n v="4"/>
    <n v="0.16999999999999993"/>
    <m/>
    <n v="196.85039399999999"/>
    <s v="Fairway"/>
    <n v="-0.39999999999999991"/>
    <n v="17"/>
    <n v="197"/>
    <n v="591"/>
  </r>
  <r>
    <n v="1"/>
    <x v="5"/>
    <x v="3"/>
    <x v="14"/>
    <n v="4"/>
    <n v="0.16999999999999993"/>
    <m/>
    <n v="421.04112049999998"/>
    <s v="Tee"/>
    <n v="-2.0000000000000018E-2"/>
    <n v="0"/>
    <n v="421"/>
    <n v="1263"/>
  </r>
  <r>
    <n v="6"/>
    <x v="5"/>
    <x v="3"/>
    <x v="15"/>
    <n v="6"/>
    <n v="-1.1799999999999997"/>
    <m/>
    <n v="0.66666666666666663"/>
    <s v="Green"/>
    <n v="1.0000000000000009E-2"/>
    <n v="0"/>
    <n v="1"/>
    <n v="2"/>
  </r>
  <r>
    <n v="5"/>
    <x v="5"/>
    <x v="3"/>
    <x v="15"/>
    <n v="6"/>
    <n v="-1.1799999999999997"/>
    <m/>
    <n v="4.3744531999999996"/>
    <s v="Green"/>
    <n v="-0.29800000000000004"/>
    <s v="Ri"/>
    <n v="4"/>
    <n v="13"/>
  </r>
  <r>
    <n v="4"/>
    <x v="5"/>
    <x v="3"/>
    <x v="15"/>
    <n v="6"/>
    <n v="-1.1799999999999997"/>
    <m/>
    <n v="15.310586199999999"/>
    <s v="Rough"/>
    <n v="-0.24199999999999977"/>
    <n v="4"/>
    <n v="15"/>
    <n v="46"/>
  </r>
  <r>
    <n v="3"/>
    <x v="5"/>
    <x v="3"/>
    <x v="15"/>
    <n v="6"/>
    <n v="-1.1799999999999997"/>
    <m/>
    <n v="157.48031519999998"/>
    <s v="Fairway"/>
    <n v="-0.49000000000000021"/>
    <n v="14"/>
    <n v="157"/>
    <n v="472"/>
  </r>
  <r>
    <n v="2"/>
    <x v="5"/>
    <x v="3"/>
    <x v="15"/>
    <n v="6"/>
    <n v="-1.1799999999999997"/>
    <m/>
    <n v="205.59930039999998"/>
    <s v="Recovery"/>
    <n v="-6.0000000000000053E-2"/>
    <n v="0"/>
    <n v="206"/>
    <n v="617"/>
  </r>
  <r>
    <n v="1"/>
    <x v="5"/>
    <x v="3"/>
    <x v="15"/>
    <n v="6"/>
    <n v="-1.1799999999999997"/>
    <m/>
    <n v="554.46194309999998"/>
    <s v="Tee"/>
    <n v="-9.9999999999999645E-2"/>
    <n v="0"/>
    <n v="554"/>
    <n v="1663"/>
  </r>
  <r>
    <n v="6"/>
    <x v="5"/>
    <x v="3"/>
    <x v="16"/>
    <n v="6"/>
    <n v="-1.7199999999999998"/>
    <m/>
    <n v="0.33333333333333331"/>
    <s v="Green"/>
    <n v="1.0000000000000009E-2"/>
    <n v="0"/>
    <n v="0"/>
    <n v="1"/>
  </r>
  <r>
    <n v="5"/>
    <x v="5"/>
    <x v="3"/>
    <x v="16"/>
    <n v="6"/>
    <n v="-1.7199999999999998"/>
    <m/>
    <n v="1"/>
    <s v="Green"/>
    <n v="-0.97"/>
    <s v="Ri"/>
    <n v="1"/>
    <n v="3"/>
  </r>
  <r>
    <n v="4"/>
    <x v="5"/>
    <x v="3"/>
    <x v="16"/>
    <n v="6"/>
    <n v="-1.7199999999999998"/>
    <m/>
    <n v="14.216972899999998"/>
    <s v="Green"/>
    <n v="3.6000000000000032E-2"/>
    <s v="Le"/>
    <n v="14"/>
    <n v="43"/>
  </r>
  <r>
    <n v="3"/>
    <x v="5"/>
    <x v="3"/>
    <x v="16"/>
    <n v="6"/>
    <n v="-1.7199999999999998"/>
    <m/>
    <n v="44.838145299999994"/>
    <s v="Rough"/>
    <n v="-0.29600000000000026"/>
    <n v="13"/>
    <n v="45"/>
    <n v="135"/>
  </r>
  <r>
    <n v="2"/>
    <x v="5"/>
    <x v="3"/>
    <x v="16"/>
    <n v="6"/>
    <n v="-1.7199999999999998"/>
    <m/>
    <n v="229.65879299999997"/>
    <s v="Recovery"/>
    <n v="0.14000000000000012"/>
    <n v="0"/>
    <n v="230"/>
    <n v="689"/>
  </r>
  <r>
    <n v="1"/>
    <x v="5"/>
    <x v="3"/>
    <x v="16"/>
    <n v="6"/>
    <n v="-1.7199999999999998"/>
    <m/>
    <n v="440.72615989999997"/>
    <s v="Tee"/>
    <n v="-0.63999999999999968"/>
    <n v="0"/>
    <n v="441"/>
    <n v="1322"/>
  </r>
  <r>
    <n v="4"/>
    <x v="5"/>
    <x v="3"/>
    <x v="17"/>
    <n v="4"/>
    <n v="-2.4999999999999911E-2"/>
    <m/>
    <n v="1"/>
    <s v="Green"/>
    <n v="4.0000000000000036E-2"/>
    <n v="0"/>
    <n v="1"/>
    <n v="3"/>
  </r>
  <r>
    <n v="3"/>
    <x v="5"/>
    <x v="3"/>
    <x v="17"/>
    <n v="4"/>
    <n v="-2.4999999999999911E-2"/>
    <m/>
    <n v="10.936132999999998"/>
    <s v="Green"/>
    <n v="-4.4000000000000039E-2"/>
    <s v="Le"/>
    <n v="11"/>
    <n v="33"/>
  </r>
  <r>
    <n v="2"/>
    <x v="5"/>
    <x v="3"/>
    <x v="17"/>
    <n v="4"/>
    <n v="-2.4999999999999911E-2"/>
    <m/>
    <n v="107.17410339999999"/>
    <s v="Fairway"/>
    <n v="-0.19600000000000017"/>
    <n v="10"/>
    <n v="107"/>
    <n v="322"/>
  </r>
  <r>
    <n v="1"/>
    <x v="5"/>
    <x v="3"/>
    <x v="17"/>
    <n v="4"/>
    <n v="-2.4999999999999911E-2"/>
    <m/>
    <n v="363.07961559999995"/>
    <s v="Tee"/>
    <n v="0.17500000000000027"/>
    <n v="0"/>
    <n v="363"/>
    <n v="1089"/>
  </r>
  <r>
    <n v="5"/>
    <x v="6"/>
    <x v="0"/>
    <x v="9"/>
    <n v="5"/>
    <n v="-0.20999999999999996"/>
    <m/>
    <n v="0.66666666666666663"/>
    <s v="Green"/>
    <n v="1.0000000000000009E-2"/>
    <n v="0"/>
    <n v="1"/>
    <n v="2"/>
  </r>
  <r>
    <n v="4"/>
    <x v="6"/>
    <x v="0"/>
    <x v="9"/>
    <n v="5"/>
    <n v="-0.20999999999999996"/>
    <m/>
    <n v="15.310586199999999"/>
    <s v="Fairway"/>
    <n v="0.28000000000000003"/>
    <n v="0"/>
    <n v="15"/>
    <n v="46"/>
  </r>
  <r>
    <n v="3"/>
    <x v="6"/>
    <x v="0"/>
    <x v="9"/>
    <n v="5"/>
    <n v="-0.20999999999999996"/>
    <m/>
    <n v="33.902012299999996"/>
    <s v="Bunker"/>
    <n v="-0.76000000000000023"/>
    <n v="14"/>
    <n v="34"/>
    <n v="102"/>
  </r>
  <r>
    <n v="2"/>
    <x v="6"/>
    <x v="0"/>
    <x v="9"/>
    <n v="5"/>
    <n v="-0.20999999999999996"/>
    <m/>
    <n v="234.03324619999998"/>
    <s v="Fairway"/>
    <n v="-7.9999999999999627E-2"/>
    <n v="31"/>
    <n v="234"/>
    <n v="702"/>
  </r>
  <r>
    <n v="1"/>
    <x v="6"/>
    <x v="0"/>
    <x v="9"/>
    <n v="5"/>
    <n v="-0.20999999999999996"/>
    <m/>
    <n v="530.40245049999999"/>
    <s v="Tee"/>
    <n v="0.33999999999999986"/>
    <n v="0"/>
    <n v="530"/>
    <n v="1591"/>
  </r>
  <r>
    <n v="3"/>
    <x v="6"/>
    <x v="0"/>
    <x v="10"/>
    <n v="3"/>
    <n v="-9.9999999999997868E-3"/>
    <m/>
    <n v="1"/>
    <s v="Green"/>
    <n v="4.0000000000000036E-2"/>
    <n v="0"/>
    <n v="1"/>
    <n v="3"/>
  </r>
  <r>
    <n v="2"/>
    <x v="6"/>
    <x v="0"/>
    <x v="10"/>
    <n v="3"/>
    <n v="-9.9999999999997868E-3"/>
    <m/>
    <n v="5.4680664999999991"/>
    <s v="Green"/>
    <n v="-0.24199999999999999"/>
    <s v="Hi"/>
    <n v="5"/>
    <n v="16"/>
  </r>
  <r>
    <n v="1"/>
    <x v="6"/>
    <x v="0"/>
    <x v="10"/>
    <n v="3"/>
    <n v="-9.9999999999997868E-3"/>
    <m/>
    <n v="157.48031519999998"/>
    <s v="Tee"/>
    <n v="0.19200000000000017"/>
    <n v="5"/>
    <n v="157"/>
    <n v="472"/>
  </r>
  <r>
    <n v="4"/>
    <x v="6"/>
    <x v="0"/>
    <x v="11"/>
    <n v="4"/>
    <n v="0.41000000000000014"/>
    <m/>
    <n v="1"/>
    <s v="Green"/>
    <n v="4.0000000000000036E-2"/>
    <n v="0"/>
    <n v="1"/>
    <n v="3"/>
  </r>
  <r>
    <n v="3"/>
    <x v="6"/>
    <x v="0"/>
    <x v="11"/>
    <n v="4"/>
    <n v="0.41000000000000014"/>
    <m/>
    <n v="8.7489063999999992"/>
    <s v="Green"/>
    <n v="-0.10000000000000009"/>
    <s v="Lo"/>
    <n v="9"/>
    <n v="26"/>
  </r>
  <r>
    <n v="2"/>
    <x v="6"/>
    <x v="0"/>
    <x v="11"/>
    <n v="4"/>
    <n v="0.41000000000000014"/>
    <m/>
    <n v="145.45056889999998"/>
    <s v="Fairway"/>
    <n v="-2.9999999999999805E-2"/>
    <n v="8"/>
    <n v="145"/>
    <n v="436"/>
  </r>
  <r>
    <n v="1"/>
    <x v="6"/>
    <x v="0"/>
    <x v="11"/>
    <n v="4"/>
    <n v="0.41000000000000014"/>
    <m/>
    <n v="460.41119929999996"/>
    <s v="Tee"/>
    <n v="0.5"/>
    <n v="0"/>
    <n v="460"/>
    <n v="1381"/>
  </r>
  <r>
    <n v="4"/>
    <x v="6"/>
    <x v="0"/>
    <x v="12"/>
    <n v="4"/>
    <n v="4.9999999999998934E-3"/>
    <m/>
    <n v="1.3333333333333333"/>
    <s v="Green"/>
    <n v="0.12999999999999989"/>
    <n v="0"/>
    <n v="1"/>
    <n v="4"/>
  </r>
  <r>
    <n v="3"/>
    <x v="6"/>
    <x v="0"/>
    <x v="12"/>
    <n v="4"/>
    <n v="4.9999999999998934E-3"/>
    <m/>
    <n v="10.936132999999998"/>
    <s v="Green"/>
    <n v="-0.1339999999999999"/>
    <s v="Lo"/>
    <n v="11"/>
    <n v="33"/>
  </r>
  <r>
    <n v="2"/>
    <x v="6"/>
    <x v="0"/>
    <x v="12"/>
    <n v="4"/>
    <n v="4.9999999999998934E-3"/>
    <m/>
    <n v="124.67191619999998"/>
    <s v="Fairway"/>
    <n v="-0.14599999999999991"/>
    <n v="10"/>
    <n v="125"/>
    <n v="374"/>
  </r>
  <r>
    <n v="1"/>
    <x v="6"/>
    <x v="0"/>
    <x v="12"/>
    <n v="4"/>
    <n v="4.9999999999998934E-3"/>
    <m/>
    <n v="377.29658849999998"/>
    <s v="Tee"/>
    <n v="0.1549999999999998"/>
    <n v="0"/>
    <n v="377"/>
    <n v="1132"/>
  </r>
  <r>
    <n v="4"/>
    <x v="6"/>
    <x v="0"/>
    <x v="13"/>
    <n v="4"/>
    <n v="-8.0000000000000071E-2"/>
    <m/>
    <n v="4.666666666666667"/>
    <s v="Green"/>
    <n v="0.71199999999999997"/>
    <n v="0"/>
    <n v="5"/>
    <n v="14"/>
  </r>
  <r>
    <n v="3"/>
    <x v="6"/>
    <x v="0"/>
    <x v="13"/>
    <n v="4"/>
    <n v="-8.0000000000000071E-2"/>
    <m/>
    <n v="100.61242359999999"/>
    <s v="Rough"/>
    <n v="0.248"/>
    <n v="0"/>
    <n v="101"/>
    <n v="302"/>
  </r>
  <r>
    <n v="2"/>
    <x v="6"/>
    <x v="0"/>
    <x v="13"/>
    <n v="4"/>
    <n v="-8.0000000000000071E-2"/>
    <m/>
    <n v="100.61242359999999"/>
    <s v="Recovery"/>
    <n v="-0.16000000000000014"/>
    <n v="0"/>
    <n v="101"/>
    <n v="302"/>
  </r>
  <r>
    <n v="1"/>
    <x v="6"/>
    <x v="0"/>
    <x v="13"/>
    <n v="4"/>
    <n v="-8.0000000000000071E-2"/>
    <m/>
    <n v="334.64566979999995"/>
    <s v="Tee"/>
    <n v="-0.87999999999999989"/>
    <n v="0"/>
    <n v="335"/>
    <n v="1004"/>
  </r>
  <r>
    <n v="5"/>
    <x v="6"/>
    <x v="0"/>
    <x v="14"/>
    <n v="5"/>
    <n v="-0.17999999999999972"/>
    <m/>
    <n v="0.66666666666666663"/>
    <s v="Green"/>
    <n v="1.0000000000000009E-2"/>
    <n v="0"/>
    <n v="1"/>
    <n v="2"/>
  </r>
  <r>
    <n v="4"/>
    <x v="6"/>
    <x v="0"/>
    <x v="14"/>
    <n v="5"/>
    <n v="-0.17999999999999972"/>
    <m/>
    <n v="14.216972899999998"/>
    <s v="Green"/>
    <n v="6.6000000000000059E-2"/>
    <s v="Lo"/>
    <n v="14"/>
    <n v="43"/>
  </r>
  <r>
    <n v="3"/>
    <x v="6"/>
    <x v="0"/>
    <x v="14"/>
    <n v="5"/>
    <n v="-0.17999999999999972"/>
    <m/>
    <n v="32.808398999999994"/>
    <s v="Rough"/>
    <n v="-0.48600000000000021"/>
    <n v="0"/>
    <n v="33"/>
    <n v="98"/>
  </r>
  <r>
    <n v="2"/>
    <x v="6"/>
    <x v="0"/>
    <x v="14"/>
    <n v="5"/>
    <n v="-0.17999999999999972"/>
    <m/>
    <n v="279.96500479999997"/>
    <s v="Fairway"/>
    <n v="0.18999999999999995"/>
    <n v="30"/>
    <n v="280"/>
    <n v="840"/>
  </r>
  <r>
    <n v="1"/>
    <x v="6"/>
    <x v="0"/>
    <x v="14"/>
    <n v="5"/>
    <n v="-0.17999999999999972"/>
    <m/>
    <n v="577.42782239999997"/>
    <s v="Tee"/>
    <n v="4.000000000000048E-2"/>
    <n v="0"/>
    <n v="577"/>
    <n v="1732"/>
  </r>
  <r>
    <n v="4"/>
    <x v="6"/>
    <x v="0"/>
    <x v="15"/>
    <n v="4"/>
    <n v="-0.79"/>
    <m/>
    <n v="1"/>
    <s v="Green"/>
    <n v="4.0000000000000036E-2"/>
    <n v="0"/>
    <n v="1"/>
    <n v="3"/>
  </r>
  <r>
    <n v="3"/>
    <x v="6"/>
    <x v="0"/>
    <x v="15"/>
    <n v="4"/>
    <n v="-0.79"/>
    <m/>
    <n v="8.7489063999999992"/>
    <s v="Green"/>
    <n v="-0.10000000000000009"/>
    <s v="Ri"/>
    <n v="9"/>
    <n v="26"/>
  </r>
  <r>
    <n v="2"/>
    <x v="6"/>
    <x v="0"/>
    <x v="15"/>
    <n v="4"/>
    <n v="-0.79"/>
    <m/>
    <n v="21.872265999999996"/>
    <s v="Rough"/>
    <n v="-0.35000000000000009"/>
    <n v="8"/>
    <n v="22"/>
    <n v="66"/>
  </r>
  <r>
    <n v="1"/>
    <x v="6"/>
    <x v="0"/>
    <x v="15"/>
    <n v="4"/>
    <n v="-0.79"/>
    <m/>
    <n v="227.47156639999997"/>
    <s v="Tee"/>
    <n v="-0.37999999999999989"/>
    <n v="20"/>
    <n v="227"/>
    <n v="682"/>
  </r>
  <r>
    <n v="3"/>
    <x v="6"/>
    <x v="0"/>
    <x v="16"/>
    <n v="3"/>
    <n v="0.81099999999999994"/>
    <m/>
    <n v="2.6666666666666665"/>
    <s v="Green"/>
    <n v="0.41999999999999993"/>
    <n v="0"/>
    <n v="3"/>
    <n v="8"/>
  </r>
  <r>
    <n v="2"/>
    <x v="6"/>
    <x v="0"/>
    <x v="16"/>
    <n v="3"/>
    <n v="0.81099999999999994"/>
    <m/>
    <n v="74.365704399999998"/>
    <s v="Fairway"/>
    <n v="0.33000000000000007"/>
    <n v="2"/>
    <n v="74"/>
    <n v="223"/>
  </r>
  <r>
    <n v="1"/>
    <x v="6"/>
    <x v="0"/>
    <x v="16"/>
    <n v="3"/>
    <n v="0.81099999999999994"/>
    <m/>
    <n v="300.74365749999998"/>
    <s v="Tee"/>
    <n v="6.0999999999999943E-2"/>
    <n v="0"/>
    <n v="301"/>
    <n v="902"/>
  </r>
  <r>
    <n v="4"/>
    <x v="6"/>
    <x v="0"/>
    <x v="17"/>
    <n v="4"/>
    <n v="8.0000000000000071E-2"/>
    <m/>
    <n v="1.3333333333333333"/>
    <s v="Green"/>
    <n v="0.12999999999999989"/>
    <n v="0"/>
    <n v="1"/>
    <n v="4"/>
  </r>
  <r>
    <n v="3"/>
    <x v="6"/>
    <x v="0"/>
    <x v="17"/>
    <n v="4"/>
    <n v="8.0000000000000071E-2"/>
    <m/>
    <n v="131.23359599999998"/>
    <s v="Rough"/>
    <n v="1.02"/>
    <n v="1"/>
    <n v="131"/>
    <n v="394"/>
  </r>
  <r>
    <n v="2"/>
    <x v="6"/>
    <x v="0"/>
    <x v="17"/>
    <n v="4"/>
    <n v="8.0000000000000071E-2"/>
    <m/>
    <n v="131.23359599999998"/>
    <s v="Recovery"/>
    <n v="-0.35000000000000009"/>
    <n v="0"/>
    <n v="131"/>
    <n v="394"/>
  </r>
  <r>
    <n v="1"/>
    <x v="6"/>
    <x v="0"/>
    <x v="17"/>
    <n v="4"/>
    <n v="8.0000000000000071E-2"/>
    <m/>
    <n v="419.94750719999996"/>
    <s v="Tee"/>
    <n v="-0.71999999999999975"/>
    <n v="0"/>
    <n v="420"/>
    <n v="1260"/>
  </r>
  <r>
    <n v="4"/>
    <x v="7"/>
    <x v="4"/>
    <x v="0"/>
    <n v="4"/>
    <n v="4.9999999999998934E-3"/>
    <m/>
    <n v="1.0936132999999999"/>
    <s v="Green"/>
    <n v="4.0000000000000036E-2"/>
    <n v="0"/>
    <n v="1"/>
    <n v="3"/>
  </r>
  <r>
    <n v="3"/>
    <x v="7"/>
    <x v="4"/>
    <x v="0"/>
    <n v="4"/>
    <n v="4.9999999999998934E-3"/>
    <m/>
    <n v="5.4680664999999991"/>
    <s v="Green"/>
    <n v="-0.24199999999999999"/>
    <s v="Ri"/>
    <n v="5"/>
    <n v="16"/>
  </r>
  <r>
    <n v="2"/>
    <x v="7"/>
    <x v="4"/>
    <x v="0"/>
    <n v="4"/>
    <n v="4.9999999999998934E-3"/>
    <m/>
    <n v="125.76552949999999"/>
    <s v="Fairway"/>
    <n v="5.2000000000000046E-2"/>
    <n v="0"/>
    <n v="126"/>
    <n v="377"/>
  </r>
  <r>
    <n v="1"/>
    <x v="7"/>
    <x v="4"/>
    <x v="0"/>
    <n v="4"/>
    <n v="4.9999999999998934E-3"/>
    <m/>
    <n v="377.29658849999998"/>
    <s v="Tee"/>
    <n v="0.1549999999999998"/>
    <n v="0"/>
    <n v="377"/>
    <n v="1132"/>
  </r>
  <r>
    <n v="4"/>
    <x v="7"/>
    <x v="4"/>
    <x v="1"/>
    <n v="4"/>
    <n v="0.47499999999999964"/>
    <m/>
    <n v="3.2808398999999997"/>
    <s v="Green"/>
    <n v="0.56000000000000005"/>
    <n v="0"/>
    <n v="3"/>
    <n v="10"/>
  </r>
  <r>
    <n v="3"/>
    <x v="7"/>
    <x v="4"/>
    <x v="1"/>
    <n v="4"/>
    <n v="0.47499999999999964"/>
    <m/>
    <n v="6.5616797999999994"/>
    <s v="Green"/>
    <n v="-0.70799999999999996"/>
    <s v="Le"/>
    <n v="7"/>
    <n v="20"/>
  </r>
  <r>
    <n v="2"/>
    <x v="7"/>
    <x v="4"/>
    <x v="1"/>
    <n v="4"/>
    <n v="0.47499999999999964"/>
    <m/>
    <n v="199.03762059999997"/>
    <s v="Fairway"/>
    <n v="0.33799999999999986"/>
    <n v="0"/>
    <n v="199"/>
    <n v="597"/>
  </r>
  <r>
    <n v="1"/>
    <x v="7"/>
    <x v="4"/>
    <x v="1"/>
    <n v="4"/>
    <n v="0.47499999999999964"/>
    <m/>
    <n v="474.62817219999994"/>
    <s v="Tee"/>
    <n v="0.2849999999999997"/>
    <n v="0"/>
    <n v="475"/>
    <n v="1424"/>
  </r>
  <r>
    <n v="4"/>
    <x v="7"/>
    <x v="4"/>
    <x v="2"/>
    <n v="4"/>
    <n v="-6.0000000000000053E-2"/>
    <m/>
    <n v="10.936132999999998"/>
    <s v="Green"/>
    <n v="0.996"/>
    <n v="0"/>
    <n v="11"/>
    <n v="33"/>
  </r>
  <r>
    <n v="3"/>
    <x v="7"/>
    <x v="4"/>
    <x v="2"/>
    <n v="4"/>
    <n v="-6.0000000000000053E-2"/>
    <m/>
    <n v="67.804024599999991"/>
    <s v="Fairway"/>
    <n v="-0.29599999999999982"/>
    <n v="0"/>
    <n v="68"/>
    <n v="203"/>
  </r>
  <r>
    <n v="2"/>
    <x v="7"/>
    <x v="4"/>
    <x v="2"/>
    <n v="4"/>
    <n v="-6.0000000000000053E-2"/>
    <m/>
    <n v="77.646544299999988"/>
    <s v="Bunker"/>
    <n v="-0.45999999999999996"/>
    <n v="0"/>
    <n v="78"/>
    <n v="233"/>
  </r>
  <r>
    <n v="1"/>
    <x v="7"/>
    <x v="4"/>
    <x v="2"/>
    <n v="4"/>
    <n v="-6.0000000000000053E-2"/>
    <m/>
    <n v="351.04986929999995"/>
    <s v="Tee"/>
    <n v="-0.30000000000000027"/>
    <n v="0"/>
    <n v="351"/>
    <n v="1053"/>
  </r>
  <r>
    <n v="4"/>
    <x v="7"/>
    <x v="4"/>
    <x v="3"/>
    <n v="4"/>
    <n v="-6.0000000000000053E-2"/>
    <m/>
    <n v="1.0936132999999999"/>
    <s v="Green"/>
    <n v="4.0000000000000036E-2"/>
    <n v="0"/>
    <n v="1"/>
    <n v="3"/>
  </r>
  <r>
    <n v="3"/>
    <x v="7"/>
    <x v="4"/>
    <x v="3"/>
    <n v="4"/>
    <n v="-6.0000000000000053E-2"/>
    <m/>
    <n v="3.2808398999999997"/>
    <s v="Green"/>
    <n v="-0.48"/>
    <s v="Le"/>
    <n v="3"/>
    <n v="10"/>
  </r>
  <r>
    <n v="2"/>
    <x v="7"/>
    <x v="4"/>
    <x v="3"/>
    <n v="4"/>
    <n v="-6.0000000000000053E-2"/>
    <m/>
    <n v="20.778652699999999"/>
    <s v="Rough"/>
    <n v="2.9999999999999805E-2"/>
    <n v="0"/>
    <n v="21"/>
    <n v="62"/>
  </r>
  <r>
    <n v="1"/>
    <x v="7"/>
    <x v="4"/>
    <x v="3"/>
    <n v="4"/>
    <n v="-6.0000000000000053E-2"/>
    <m/>
    <n v="351.04986929999995"/>
    <s v="Tee"/>
    <n v="0.35000000000000009"/>
    <n v="0"/>
    <n v="351"/>
    <n v="1053"/>
  </r>
  <r>
    <n v="3"/>
    <x v="7"/>
    <x v="4"/>
    <x v="4"/>
    <n v="3"/>
    <n v="4.9999999999999822E-2"/>
    <m/>
    <n v="3.2808398999999997"/>
    <s v="Green"/>
    <n v="0.56000000000000005"/>
    <n v="0"/>
    <n v="3"/>
    <n v="10"/>
  </r>
  <r>
    <n v="2"/>
    <x v="7"/>
    <x v="4"/>
    <x v="4"/>
    <n v="3"/>
    <n v="4.9999999999999822E-2"/>
    <m/>
    <n v="8.7489063999999992"/>
    <s v="Fairway"/>
    <n v="-0.53000000000000025"/>
    <n v="0"/>
    <n v="9"/>
    <n v="26"/>
  </r>
  <r>
    <n v="1"/>
    <x v="7"/>
    <x v="4"/>
    <x v="4"/>
    <n v="3"/>
    <n v="4.9999999999999822E-2"/>
    <m/>
    <n v="170.60367479999999"/>
    <s v="Tee"/>
    <n v="2.0000000000000018E-2"/>
    <n v="0"/>
    <n v="171"/>
    <n v="512"/>
  </r>
  <r>
    <n v="4"/>
    <x v="7"/>
    <x v="4"/>
    <x v="5"/>
    <n v="4"/>
    <n v="-8.0000000000000071E-2"/>
    <m/>
    <n v="1.0936132999999999"/>
    <s v="Green"/>
    <n v="4.0000000000000036E-2"/>
    <n v="0"/>
    <n v="1"/>
    <n v="3"/>
  </r>
  <r>
    <n v="3"/>
    <x v="7"/>
    <x v="4"/>
    <x v="5"/>
    <n v="4"/>
    <n v="-8.0000000000000071E-2"/>
    <m/>
    <n v="3.2808398999999997"/>
    <s v="Green"/>
    <n v="-0.48"/>
    <s v="Le"/>
    <n v="3"/>
    <n v="10"/>
  </r>
  <r>
    <n v="2"/>
    <x v="7"/>
    <x v="4"/>
    <x v="5"/>
    <n v="4"/>
    <n v="-8.0000000000000071E-2"/>
    <m/>
    <n v="152.01224869999999"/>
    <s v="Fairway"/>
    <n v="0.41999999999999993"/>
    <n v="0"/>
    <n v="152"/>
    <n v="456"/>
  </r>
  <r>
    <n v="1"/>
    <x v="7"/>
    <x v="4"/>
    <x v="5"/>
    <n v="4"/>
    <n v="-8.0000000000000071E-2"/>
    <m/>
    <n v="332.45844319999998"/>
    <s v="Tee"/>
    <n v="-6.0000000000000053E-2"/>
    <n v="0"/>
    <n v="332"/>
    <n v="997"/>
  </r>
  <r>
    <n v="3"/>
    <x v="7"/>
    <x v="4"/>
    <x v="6"/>
    <n v="3"/>
    <n v="0.82500000000000018"/>
    <m/>
    <n v="1.0936132999999999"/>
    <s v="Green"/>
    <n v="4.0000000000000036E-2"/>
    <n v="0"/>
    <n v="1"/>
    <n v="3"/>
  </r>
  <r>
    <n v="2"/>
    <x v="7"/>
    <x v="4"/>
    <x v="6"/>
    <n v="3"/>
    <n v="0.82500000000000018"/>
    <m/>
    <n v="8.7489063999999992"/>
    <s v="Fairway"/>
    <n v="-1.0000000000000231E-2"/>
    <n v="0"/>
    <n v="9"/>
    <n v="26"/>
  </r>
  <r>
    <n v="1"/>
    <x v="7"/>
    <x v="4"/>
    <x v="6"/>
    <n v="3"/>
    <n v="0.82500000000000018"/>
    <m/>
    <n v="309.49256389999999"/>
    <s v="Tee"/>
    <n v="0.79500000000000037"/>
    <n v="0"/>
    <n v="309"/>
    <n v="928"/>
  </r>
  <r>
    <n v="3"/>
    <x v="7"/>
    <x v="4"/>
    <x v="7"/>
    <n v="3"/>
    <n v="4.9999999999999822E-2"/>
    <m/>
    <n v="1.0936132999999999"/>
    <s v="Green"/>
    <n v="4.0000000000000036E-2"/>
    <n v="0"/>
    <n v="1"/>
    <n v="3"/>
  </r>
  <r>
    <n v="2"/>
    <x v="7"/>
    <x v="4"/>
    <x v="7"/>
    <n v="3"/>
    <n v="4.9999999999999822E-2"/>
    <m/>
    <n v="17.497812799999998"/>
    <s v="Fairway"/>
    <n v="0.25"/>
    <n v="0"/>
    <n v="17"/>
    <n v="52"/>
  </r>
  <r>
    <n v="1"/>
    <x v="7"/>
    <x v="4"/>
    <x v="7"/>
    <n v="3"/>
    <n v="4.9999999999999822E-2"/>
    <m/>
    <n v="166.22922159999999"/>
    <s v="Tee"/>
    <n v="-0.24000000000000021"/>
    <n v="0"/>
    <n v="166"/>
    <n v="499"/>
  </r>
  <r>
    <n v="4"/>
    <x v="7"/>
    <x v="4"/>
    <x v="8"/>
    <n v="4"/>
    <n v="8.0000000000000071E-2"/>
    <m/>
    <n v="1.0936132999999999"/>
    <s v="Green"/>
    <n v="4.0000000000000036E-2"/>
    <n v="0"/>
    <n v="1"/>
    <n v="3"/>
  </r>
  <r>
    <n v="3"/>
    <x v="7"/>
    <x v="4"/>
    <x v="8"/>
    <n v="4"/>
    <n v="8.0000000000000071E-2"/>
    <m/>
    <n v="6.5616797999999994"/>
    <s v="Green"/>
    <n v="-0.18799999999999994"/>
    <s v="Le"/>
    <n v="7"/>
    <n v="20"/>
  </r>
  <r>
    <n v="2"/>
    <x v="7"/>
    <x v="4"/>
    <x v="8"/>
    <n v="4"/>
    <n v="8.0000000000000071E-2"/>
    <m/>
    <n v="120.29746299999999"/>
    <s v="Fairway"/>
    <n v="-2.0000000000000018E-3"/>
    <n v="0"/>
    <n v="120"/>
    <n v="361"/>
  </r>
  <r>
    <n v="1"/>
    <x v="7"/>
    <x v="4"/>
    <x v="8"/>
    <n v="4"/>
    <n v="8.0000000000000071E-2"/>
    <m/>
    <n v="403.54330769999996"/>
    <s v="Tee"/>
    <n v="0.22999999999999998"/>
    <n v="0"/>
    <n v="404"/>
    <n v="1211"/>
  </r>
  <r>
    <n v="3"/>
    <x v="7"/>
    <x v="4"/>
    <x v="9"/>
    <n v="3"/>
    <n v="0.16999999999999993"/>
    <m/>
    <n v="0.33333333333333331"/>
    <s v="Green"/>
    <n v="1.0000000000000009E-2"/>
    <n v="0"/>
    <n v="0"/>
    <n v="1"/>
  </r>
  <r>
    <n v="2"/>
    <x v="7"/>
    <x v="4"/>
    <x v="9"/>
    <n v="3"/>
    <n v="0.16999999999999993"/>
    <m/>
    <n v="4.3744531999999996"/>
    <s v="Green"/>
    <n v="-0.29800000000000004"/>
    <s v="Le"/>
    <n v="4"/>
    <n v="13"/>
  </r>
  <r>
    <n v="1"/>
    <x v="7"/>
    <x v="4"/>
    <x v="9"/>
    <n v="3"/>
    <n v="0.16999999999999993"/>
    <m/>
    <n v="207.78652699999998"/>
    <s v="Tee"/>
    <n v="0.45799999999999996"/>
    <n v="0"/>
    <n v="208"/>
    <n v="623"/>
  </r>
  <r>
    <n v="5"/>
    <x v="7"/>
    <x v="4"/>
    <x v="10"/>
    <n v="5"/>
    <n v="-0.77500000000000036"/>
    <m/>
    <n v="1.0936132999999999"/>
    <s v="Green"/>
    <n v="4.0000000000000036E-2"/>
    <n v="0"/>
    <n v="1"/>
    <n v="3"/>
  </r>
  <r>
    <n v="4"/>
    <x v="7"/>
    <x v="4"/>
    <x v="10"/>
    <n v="5"/>
    <n v="-0.77500000000000036"/>
    <m/>
    <n v="15.310586199999999"/>
    <s v="Green"/>
    <n v="6.800000000000006E-2"/>
    <s v="Ri"/>
    <n v="15"/>
    <n v="46"/>
  </r>
  <r>
    <n v="3"/>
    <x v="7"/>
    <x v="4"/>
    <x v="10"/>
    <n v="5"/>
    <n v="-0.77500000000000036"/>
    <m/>
    <n v="54.680664999999998"/>
    <s v="Bunker"/>
    <n v="-0.28800000000000026"/>
    <n v="0"/>
    <n v="55"/>
    <n v="164"/>
  </r>
  <r>
    <n v="2"/>
    <x v="7"/>
    <x v="4"/>
    <x v="10"/>
    <n v="5"/>
    <n v="-0.77500000000000036"/>
    <m/>
    <n v="202.31846049999999"/>
    <s v="Fairway"/>
    <n v="-0.5"/>
    <n v="0"/>
    <n v="202"/>
    <n v="607"/>
  </r>
  <r>
    <n v="1"/>
    <x v="7"/>
    <x v="4"/>
    <x v="10"/>
    <n v="5"/>
    <n v="-0.77500000000000036"/>
    <m/>
    <n v="434.16448009999993"/>
    <s v="Tee"/>
    <n v="-9.5000000000000195E-2"/>
    <n v="0"/>
    <n v="434"/>
    <n v="1302"/>
  </r>
  <r>
    <n v="4"/>
    <x v="7"/>
    <x v="4"/>
    <x v="11"/>
    <n v="4"/>
    <n v="0.59750000000000014"/>
    <m/>
    <n v="6.5616797999999994"/>
    <s v="Green"/>
    <n v="0.85200000000000009"/>
    <n v="0"/>
    <n v="7"/>
    <n v="20"/>
  </r>
  <r>
    <n v="3"/>
    <x v="7"/>
    <x v="4"/>
    <x v="11"/>
    <n v="4"/>
    <n v="0.59750000000000014"/>
    <m/>
    <n v="85.301837399999997"/>
    <s v="Bunker"/>
    <n v="0.38800000000000012"/>
    <n v="0"/>
    <n v="85"/>
    <n v="256"/>
  </r>
  <r>
    <n v="2"/>
    <x v="7"/>
    <x v="4"/>
    <x v="11"/>
    <n v="4"/>
    <n v="0.59750000000000014"/>
    <m/>
    <n v="196.85039399999999"/>
    <s v="Fairway"/>
    <n v="-1.0500000000000003"/>
    <n v="0"/>
    <n v="197"/>
    <n v="591"/>
  </r>
  <r>
    <n v="1"/>
    <x v="7"/>
    <x v="4"/>
    <x v="11"/>
    <n v="4"/>
    <n v="0.59750000000000014"/>
    <m/>
    <n v="486.65791849999994"/>
    <s v="Tee"/>
    <n v="0.4075000000000002"/>
    <n v="0"/>
    <n v="487"/>
    <n v="1460"/>
  </r>
  <r>
    <n v="5"/>
    <x v="7"/>
    <x v="4"/>
    <x v="12"/>
    <n v="5"/>
    <n v="-0.17999999999999972"/>
    <m/>
    <n v="1.0936132999999999"/>
    <s v="Green"/>
    <n v="4.0000000000000036E-2"/>
    <n v="0"/>
    <n v="1"/>
    <n v="3"/>
  </r>
  <r>
    <n v="4"/>
    <x v="7"/>
    <x v="4"/>
    <x v="12"/>
    <n v="5"/>
    <n v="-0.17999999999999972"/>
    <m/>
    <n v="75.4593177"/>
    <s v="Fairway"/>
    <n v="0.71"/>
    <n v="0"/>
    <n v="75"/>
    <n v="226"/>
  </r>
  <r>
    <n v="3"/>
    <x v="7"/>
    <x v="4"/>
    <x v="12"/>
    <n v="5"/>
    <n v="-0.17999999999999972"/>
    <m/>
    <n v="85.301837399999997"/>
    <s v="Fairway"/>
    <n v="-1"/>
    <n v="0"/>
    <n v="85"/>
    <n v="256"/>
  </r>
  <r>
    <n v="2"/>
    <x v="7"/>
    <x v="4"/>
    <x v="12"/>
    <n v="5"/>
    <n v="-0.17999999999999972"/>
    <m/>
    <n v="317.14785699999999"/>
    <s v="Fairway"/>
    <n v="0.12999999999999989"/>
    <n v="0"/>
    <n v="317"/>
    <n v="951"/>
  </r>
  <r>
    <n v="1"/>
    <x v="7"/>
    <x v="4"/>
    <x v="12"/>
    <n v="5"/>
    <n v="-0.17999999999999972"/>
    <m/>
    <n v="575.24059579999994"/>
    <s v="Tee"/>
    <n v="-5.9999999999999609E-2"/>
    <n v="0"/>
    <n v="575"/>
    <n v="1726"/>
  </r>
  <r>
    <n v="4"/>
    <x v="7"/>
    <x v="4"/>
    <x v="13"/>
    <n v="4"/>
    <n v="8.3000000000000185E-2"/>
    <m/>
    <n v="2.1872265999999998"/>
    <s v="Green"/>
    <n v="0.34000000000000008"/>
    <n v="0"/>
    <n v="2"/>
    <n v="7"/>
  </r>
  <r>
    <n v="3"/>
    <x v="7"/>
    <x v="4"/>
    <x v="13"/>
    <n v="4"/>
    <n v="8.3000000000000185E-2"/>
    <m/>
    <n v="10.936132999999998"/>
    <s v="Fairway"/>
    <n v="-0.15999999999999992"/>
    <n v="0"/>
    <n v="11"/>
    <n v="33"/>
  </r>
  <r>
    <n v="2"/>
    <x v="7"/>
    <x v="4"/>
    <x v="13"/>
    <n v="4"/>
    <n v="8.3000000000000185E-2"/>
    <m/>
    <n v="147.63779549999998"/>
    <s v="Fairway"/>
    <n v="-0.20000000000000018"/>
    <n v="0"/>
    <n v="148"/>
    <n v="443"/>
  </r>
  <r>
    <n v="1"/>
    <x v="7"/>
    <x v="4"/>
    <x v="13"/>
    <n v="4"/>
    <n v="8.3000000000000185E-2"/>
    <m/>
    <n v="399.16885449999995"/>
    <s v="Tee"/>
    <n v="0.1030000000000002"/>
    <n v="0"/>
    <n v="399"/>
    <n v="1198"/>
  </r>
  <r>
    <n v="5"/>
    <x v="7"/>
    <x v="4"/>
    <x v="14"/>
    <n v="5"/>
    <n v="-0.65500000000000025"/>
    <m/>
    <n v="3.2808398999999997"/>
    <s v="Green"/>
    <n v="0.56000000000000005"/>
    <n v="0"/>
    <n v="3"/>
    <n v="10"/>
  </r>
  <r>
    <n v="4"/>
    <x v="7"/>
    <x v="4"/>
    <x v="14"/>
    <n v="5"/>
    <n v="-0.65500000000000025"/>
    <m/>
    <n v="8.7489063999999992"/>
    <s v="Green"/>
    <n v="-0.62000000000000011"/>
    <s v="Le"/>
    <n v="9"/>
    <n v="26"/>
  </r>
  <r>
    <n v="3"/>
    <x v="7"/>
    <x v="4"/>
    <x v="14"/>
    <n v="5"/>
    <n v="-0.65500000000000025"/>
    <m/>
    <n v="14.216972899999998"/>
    <s v="Fairway"/>
    <n v="-0.64999999999999991"/>
    <n v="0"/>
    <n v="14"/>
    <n v="43"/>
  </r>
  <r>
    <n v="2"/>
    <x v="7"/>
    <x v="4"/>
    <x v="14"/>
    <n v="5"/>
    <n v="-0.65500000000000025"/>
    <m/>
    <n v="142.16972899999999"/>
    <s v="Fairway"/>
    <n v="-0.37999999999999989"/>
    <n v="0"/>
    <n v="142"/>
    <n v="427"/>
  </r>
  <r>
    <n v="1"/>
    <x v="7"/>
    <x v="4"/>
    <x v="14"/>
    <n v="5"/>
    <n v="-0.65500000000000025"/>
    <m/>
    <n v="454.94313279999994"/>
    <s v="Tee"/>
    <n v="0.43499999999999961"/>
    <n v="0"/>
    <n v="455"/>
    <n v="1365"/>
  </r>
  <r>
    <n v="4"/>
    <x v="7"/>
    <x v="4"/>
    <x v="15"/>
    <n v="4"/>
    <n v="4.9999999999998934E-3"/>
    <m/>
    <n v="3.2808398999999997"/>
    <s v="Green"/>
    <n v="0.56000000000000005"/>
    <n v="0"/>
    <n v="3"/>
    <n v="10"/>
  </r>
  <r>
    <n v="3"/>
    <x v="7"/>
    <x v="4"/>
    <x v="15"/>
    <n v="4"/>
    <n v="4.9999999999998934E-3"/>
    <m/>
    <n v="7.6552930999999997"/>
    <s v="Fairway"/>
    <n v="-0.53000000000000025"/>
    <n v="0"/>
    <n v="8"/>
    <n v="23"/>
  </r>
  <r>
    <n v="2"/>
    <x v="7"/>
    <x v="4"/>
    <x v="15"/>
    <n v="4"/>
    <n v="4.9999999999998934E-3"/>
    <m/>
    <n v="106.08049009999999"/>
    <s v="Fairway"/>
    <n v="-0.22999999999999998"/>
    <n v="0"/>
    <n v="106"/>
    <n v="318"/>
  </r>
  <r>
    <n v="1"/>
    <x v="7"/>
    <x v="4"/>
    <x v="15"/>
    <n v="4"/>
    <n v="4.9999999999998934E-3"/>
    <m/>
    <n v="378.39020179999994"/>
    <s v="Tee"/>
    <n v="0.20500000000000007"/>
    <n v="0"/>
    <n v="378"/>
    <n v="1135"/>
  </r>
  <r>
    <n v="3"/>
    <x v="7"/>
    <x v="4"/>
    <x v="16"/>
    <n v="3"/>
    <n v="0.12000000000000011"/>
    <m/>
    <n v="0.33333333333333331"/>
    <s v="Green"/>
    <n v="1.0000000000000009E-2"/>
    <n v="0"/>
    <n v="0"/>
    <n v="1"/>
  </r>
  <r>
    <n v="2"/>
    <x v="7"/>
    <x v="4"/>
    <x v="16"/>
    <n v="3"/>
    <n v="0.12000000000000011"/>
    <m/>
    <n v="12.029746299999999"/>
    <s v="Fairway"/>
    <n v="0.17000000000000015"/>
    <n v="0"/>
    <n v="12"/>
    <n v="36"/>
  </r>
  <r>
    <n v="1"/>
    <x v="7"/>
    <x v="4"/>
    <x v="16"/>
    <n v="3"/>
    <n v="0.12000000000000011"/>
    <m/>
    <n v="188.10148759999998"/>
    <s v="Tee"/>
    <n v="-6.0000000000000053E-2"/>
    <n v="0"/>
    <n v="188"/>
    <n v="564"/>
  </r>
  <r>
    <n v="4"/>
    <x v="7"/>
    <x v="4"/>
    <x v="17"/>
    <n v="4"/>
    <n v="8.0000000000000071E-2"/>
    <m/>
    <n v="0.33333333333333331"/>
    <s v="Green"/>
    <n v="1.0000000000000009E-2"/>
    <n v="0"/>
    <n v="0"/>
    <n v="1"/>
  </r>
  <r>
    <n v="3"/>
    <x v="7"/>
    <x v="4"/>
    <x v="17"/>
    <n v="4"/>
    <n v="8.0000000000000071E-2"/>
    <m/>
    <n v="1.3333333333333333"/>
    <s v="Green"/>
    <n v="-0.88000000000000012"/>
    <s v="Le"/>
    <n v="1"/>
    <n v="4"/>
  </r>
  <r>
    <n v="2"/>
    <x v="7"/>
    <x v="4"/>
    <x v="17"/>
    <n v="4"/>
    <n v="8.0000000000000071E-2"/>
    <m/>
    <n v="129.04636939999997"/>
    <s v="Fairway"/>
    <n v="0.78000000000000025"/>
    <n v="0"/>
    <n v="129"/>
    <n v="387"/>
  </r>
  <r>
    <n v="1"/>
    <x v="7"/>
    <x v="4"/>
    <x v="17"/>
    <n v="4"/>
    <n v="8.0000000000000071E-2"/>
    <m/>
    <n v="411.19860079999995"/>
    <s v="Tee"/>
    <n v="0.16999999999999993"/>
    <n v="0"/>
    <n v="411"/>
    <n v="1234"/>
  </r>
  <r>
    <n v="4"/>
    <x v="8"/>
    <x v="5"/>
    <x v="9"/>
    <n v="4"/>
    <n v="-6.0000000000000053E-2"/>
    <m/>
    <n v="1.0936132999999999"/>
    <s v="Green"/>
    <n v="4.0000000000000036E-2"/>
    <n v="0"/>
    <n v="1"/>
    <n v="3"/>
  </r>
  <r>
    <n v="3"/>
    <x v="8"/>
    <x v="5"/>
    <x v="9"/>
    <n v="4"/>
    <n v="-6.0000000000000053E-2"/>
    <m/>
    <n v="8.7489063999999992"/>
    <s v="Green"/>
    <n v="-0.10000000000000009"/>
    <s v="Hi"/>
    <n v="9"/>
    <n v="26"/>
  </r>
  <r>
    <n v="2"/>
    <x v="8"/>
    <x v="5"/>
    <x v="9"/>
    <n v="4"/>
    <n v="-6.0000000000000053E-2"/>
    <m/>
    <n v="92.957130499999991"/>
    <s v="Fairway"/>
    <n v="-0.14000000000000012"/>
    <n v="0"/>
    <n v="93"/>
    <n v="279"/>
  </r>
  <r>
    <n v="1"/>
    <x v="8"/>
    <x v="5"/>
    <x v="9"/>
    <n v="4"/>
    <n v="-6.0000000000000053E-2"/>
    <m/>
    <n v="354.33070919999994"/>
    <s v="Tee"/>
    <n v="0.14000000000000012"/>
    <n v="0"/>
    <n v="354"/>
    <n v="1063"/>
  </r>
  <r>
    <n v="4"/>
    <x v="8"/>
    <x v="5"/>
    <x v="10"/>
    <n v="4"/>
    <n v="4.9999999999998934E-3"/>
    <m/>
    <n v="4.3744531999999996"/>
    <s v="Green"/>
    <n v="0.71199999999999997"/>
    <n v="0"/>
    <n v="4"/>
    <n v="13"/>
  </r>
  <r>
    <n v="3"/>
    <x v="8"/>
    <x v="5"/>
    <x v="10"/>
    <n v="4"/>
    <n v="4.9999999999998934E-3"/>
    <m/>
    <n v="9.8425196999999987"/>
    <s v="Green"/>
    <n v="-0.74199999999999999"/>
    <s v="Hi"/>
    <n v="10"/>
    <n v="30"/>
  </r>
  <r>
    <n v="2"/>
    <x v="8"/>
    <x v="5"/>
    <x v="10"/>
    <n v="4"/>
    <n v="4.9999999999998934E-3"/>
    <m/>
    <n v="153.10586199999997"/>
    <s v="Fairway"/>
    <n v="1.0000000000000009E-2"/>
    <n v="0"/>
    <n v="153"/>
    <n v="459"/>
  </r>
  <r>
    <n v="1"/>
    <x v="8"/>
    <x v="5"/>
    <x v="10"/>
    <n v="4"/>
    <n v="4.9999999999998934E-3"/>
    <m/>
    <n v="381.67104169999999"/>
    <s v="Tee"/>
    <n v="2.4999999999999911E-2"/>
    <n v="0"/>
    <n v="382"/>
    <n v="1145"/>
  </r>
  <r>
    <n v="3"/>
    <x v="8"/>
    <x v="5"/>
    <x v="11"/>
    <n v="3"/>
    <n v="0.82500000000000018"/>
    <m/>
    <n v="2.1872265999999998"/>
    <s v="Green"/>
    <n v="0.34000000000000008"/>
    <n v="0"/>
    <n v="2"/>
    <n v="7"/>
  </r>
  <r>
    <n v="2"/>
    <x v="8"/>
    <x v="5"/>
    <x v="11"/>
    <n v="3"/>
    <n v="0.82500000000000018"/>
    <m/>
    <n v="63.429571399999993"/>
    <s v="Bunker"/>
    <n v="0.80999999999999983"/>
    <n v="0"/>
    <n v="63"/>
    <n v="190"/>
  </r>
  <r>
    <n v="1"/>
    <x v="8"/>
    <x v="5"/>
    <x v="11"/>
    <n v="3"/>
    <n v="0.82500000000000018"/>
    <m/>
    <n v="308.39895059999998"/>
    <s v="Tee"/>
    <n v="-0.32499999999999973"/>
    <n v="0"/>
    <n v="308"/>
    <n v="925"/>
  </r>
  <r>
    <n v="5"/>
    <x v="8"/>
    <x v="5"/>
    <x v="12"/>
    <n v="5"/>
    <n v="-0.34999999999999964"/>
    <m/>
    <n v="1.0936132999999999"/>
    <s v="Green"/>
    <n v="4.0000000000000036E-2"/>
    <n v="0"/>
    <n v="1"/>
    <n v="3"/>
  </r>
  <r>
    <n v="4"/>
    <x v="8"/>
    <x v="5"/>
    <x v="12"/>
    <n v="5"/>
    <n v="-0.34999999999999964"/>
    <m/>
    <n v="4.3744531999999996"/>
    <s v="Green"/>
    <n v="-0.32800000000000007"/>
    <s v="Hi"/>
    <n v="4"/>
    <n v="13"/>
  </r>
  <r>
    <n v="3"/>
    <x v="8"/>
    <x v="5"/>
    <x v="12"/>
    <n v="5"/>
    <n v="-0.34999999999999964"/>
    <m/>
    <n v="15.310586199999999"/>
    <s v="Fairway"/>
    <n v="-0.42199999999999993"/>
    <n v="0"/>
    <n v="15"/>
    <n v="46"/>
  </r>
  <r>
    <n v="2"/>
    <x v="8"/>
    <x v="5"/>
    <x v="12"/>
    <n v="5"/>
    <n v="-0.34999999999999964"/>
    <m/>
    <n v="205.59930039999998"/>
    <s v="Fairway"/>
    <n v="2.9999999999999805E-2"/>
    <n v="0"/>
    <n v="206"/>
    <n v="617"/>
  </r>
  <r>
    <n v="1"/>
    <x v="8"/>
    <x v="5"/>
    <x v="12"/>
    <n v="5"/>
    <n v="-0.34999999999999964"/>
    <m/>
    <n v="500.87489139999997"/>
    <s v="Tee"/>
    <n v="0.33000000000000052"/>
    <n v="0"/>
    <n v="501"/>
    <n v="1503"/>
  </r>
  <r>
    <n v="5"/>
    <x v="8"/>
    <x v="5"/>
    <x v="13"/>
    <n v="5"/>
    <n v="-0.91999999999999993"/>
    <m/>
    <n v="1.0936132999999999"/>
    <s v="Green"/>
    <n v="4.0000000000000036E-2"/>
    <n v="0"/>
    <n v="1"/>
    <n v="3"/>
  </r>
  <r>
    <n v="4"/>
    <x v="8"/>
    <x v="5"/>
    <x v="13"/>
    <n v="5"/>
    <n v="-0.91999999999999993"/>
    <m/>
    <n v="5.4680664999999991"/>
    <s v="Green"/>
    <n v="-0.24199999999999999"/>
    <s v="Lo"/>
    <n v="5"/>
    <n v="16"/>
  </r>
  <r>
    <n v="3"/>
    <x v="8"/>
    <x v="5"/>
    <x v="13"/>
    <n v="5"/>
    <n v="-0.91999999999999993"/>
    <m/>
    <n v="12.029746299999999"/>
    <s v="Fairway"/>
    <n v="-0.61799999999999988"/>
    <n v="0"/>
    <n v="12"/>
    <n v="36"/>
  </r>
  <r>
    <n v="2"/>
    <x v="8"/>
    <x v="5"/>
    <x v="13"/>
    <n v="5"/>
    <n v="-0.91999999999999993"/>
    <m/>
    <n v="129.04636939999997"/>
    <s v="Fairway"/>
    <n v="-0.27"/>
    <n v="0"/>
    <n v="129"/>
    <n v="387"/>
  </r>
  <r>
    <n v="1"/>
    <x v="8"/>
    <x v="5"/>
    <x v="13"/>
    <n v="5"/>
    <n v="-0.91999999999999993"/>
    <m/>
    <n v="413.38582739999998"/>
    <s v="Tee"/>
    <n v="0.16999999999999993"/>
    <n v="0"/>
    <n v="413"/>
    <n v="1240"/>
  </r>
  <r>
    <n v="5"/>
    <x v="8"/>
    <x v="5"/>
    <x v="14"/>
    <n v="5"/>
    <n v="-0.20999999999999996"/>
    <m/>
    <n v="6.5616797999999994"/>
    <s v="Green"/>
    <n v="0.85200000000000009"/>
    <n v="0"/>
    <n v="7"/>
    <n v="20"/>
  </r>
  <r>
    <n v="4"/>
    <x v="8"/>
    <x v="5"/>
    <x v="14"/>
    <n v="5"/>
    <n v="-0.20999999999999996"/>
    <m/>
    <n v="18.5914261"/>
    <s v="Green"/>
    <n v="-0.68200000000000016"/>
    <s v="Le"/>
    <n v="19"/>
    <n v="56"/>
  </r>
  <r>
    <n v="3"/>
    <x v="8"/>
    <x v="5"/>
    <x v="14"/>
    <n v="5"/>
    <n v="-0.20999999999999996"/>
    <m/>
    <n v="63.429571399999993"/>
    <s v="Fairway"/>
    <n v="-0.46999999999999975"/>
    <n v="0"/>
    <n v="63"/>
    <n v="190"/>
  </r>
  <r>
    <n v="2"/>
    <x v="8"/>
    <x v="5"/>
    <x v="14"/>
    <n v="5"/>
    <n v="-0.20999999999999996"/>
    <m/>
    <n v="207.78652699999998"/>
    <s v="Fairway"/>
    <n v="-0.38000000000000034"/>
    <n v="0"/>
    <n v="208"/>
    <n v="623"/>
  </r>
  <r>
    <n v="1"/>
    <x v="8"/>
    <x v="5"/>
    <x v="14"/>
    <n v="5"/>
    <n v="-0.20999999999999996"/>
    <m/>
    <n v="534.77690369999993"/>
    <s v="Tee"/>
    <n v="0.4700000000000002"/>
    <n v="0"/>
    <n v="535"/>
    <n v="1604"/>
  </r>
  <r>
    <n v="4"/>
    <x v="8"/>
    <x v="5"/>
    <x v="15"/>
    <n v="4"/>
    <n v="-1.02"/>
    <m/>
    <n v="1.0936132999999999"/>
    <s v="Green"/>
    <n v="4.0000000000000036E-2"/>
    <n v="0"/>
    <n v="1"/>
    <n v="3"/>
  </r>
  <r>
    <n v="3"/>
    <x v="8"/>
    <x v="5"/>
    <x v="15"/>
    <n v="4"/>
    <n v="-1.02"/>
    <m/>
    <n v="3.2808398999999997"/>
    <s v="Green"/>
    <n v="-0.48"/>
    <s v="Lo"/>
    <n v="3"/>
    <n v="10"/>
  </r>
  <r>
    <n v="2"/>
    <x v="8"/>
    <x v="5"/>
    <x v="15"/>
    <n v="4"/>
    <n v="-1.02"/>
    <m/>
    <n v="12.029746299999999"/>
    <s v="Green"/>
    <n v="-0.53200000000000003"/>
    <n v="0"/>
    <n v="12"/>
    <n v="36"/>
  </r>
  <r>
    <n v="1"/>
    <x v="8"/>
    <x v="5"/>
    <x v="15"/>
    <n v="4"/>
    <n v="-1.02"/>
    <m/>
    <n v="142.16972899999999"/>
    <s v="Tee"/>
    <n v="-4.8000000000000043E-2"/>
    <n v="0"/>
    <n v="142"/>
    <n v="427"/>
  </r>
  <r>
    <n v="4"/>
    <x v="8"/>
    <x v="5"/>
    <x v="16"/>
    <n v="4"/>
    <n v="8.0000000000000071E-2"/>
    <m/>
    <n v="1.0936132999999999"/>
    <s v="Green"/>
    <n v="4.0000000000000036E-2"/>
    <n v="0"/>
    <n v="1"/>
    <n v="3"/>
  </r>
  <r>
    <n v="3"/>
    <x v="8"/>
    <x v="5"/>
    <x v="16"/>
    <n v="4"/>
    <n v="8.0000000000000071E-2"/>
    <m/>
    <n v="2.1872265999999998"/>
    <s v="Green"/>
    <n v="-0.7"/>
    <s v="Hi"/>
    <n v="2"/>
    <n v="7"/>
  </r>
  <r>
    <n v="2"/>
    <x v="8"/>
    <x v="5"/>
    <x v="16"/>
    <n v="4"/>
    <n v="8.0000000000000071E-2"/>
    <m/>
    <n v="131.23359599999998"/>
    <s v="Fairway"/>
    <n v="0.57000000000000006"/>
    <n v="0"/>
    <n v="131"/>
    <n v="394"/>
  </r>
  <r>
    <n v="1"/>
    <x v="8"/>
    <x v="5"/>
    <x v="16"/>
    <n v="4"/>
    <n v="8.0000000000000071E-2"/>
    <m/>
    <n v="412.29221409999997"/>
    <s v="Tee"/>
    <n v="0.16999999999999993"/>
    <n v="0"/>
    <n v="412"/>
    <n v="1237"/>
  </r>
  <r>
    <n v="3"/>
    <x v="8"/>
    <x v="5"/>
    <x v="17"/>
    <n v="3"/>
    <n v="-2.9999999999999805E-2"/>
    <m/>
    <n v="0.33333333333333331"/>
    <s v="Green"/>
    <n v="1.0000000000000009E-2"/>
    <n v="0"/>
    <n v="0"/>
    <n v="1"/>
  </r>
  <r>
    <n v="2"/>
    <x v="8"/>
    <x v="5"/>
    <x v="17"/>
    <n v="3"/>
    <n v="-2.9999999999999805E-2"/>
    <m/>
    <n v="3.2808398999999997"/>
    <s v="Green"/>
    <n v="-0.44999999999999996"/>
    <s v="Le"/>
    <n v="3"/>
    <n v="1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17">
  <r>
    <n v="3"/>
    <d v="2019-06-13T17:00:00"/>
    <s v="EG-white"/>
    <n v="18"/>
    <n v="3"/>
    <n v="1.08"/>
    <m/>
    <n v="2"/>
    <x v="0"/>
    <n v="0.34000000000000008"/>
    <x v="0"/>
    <n v="2"/>
    <n v="6"/>
  </r>
  <r>
    <n v="2"/>
    <d v="2019-06-13T17:00:00"/>
    <s v="EG-white"/>
    <n v="18"/>
    <n v="3"/>
    <n v="1.08"/>
    <m/>
    <n v="123.57830289999998"/>
    <x v="1"/>
    <n v="0.51"/>
    <x v="1"/>
    <n v="124"/>
    <n v="371"/>
  </r>
  <r>
    <n v="1"/>
    <d v="2019-06-13T17:00:00"/>
    <s v="EG-white"/>
    <n v="18"/>
    <n v="3"/>
    <n v="1.08"/>
    <m/>
    <n v="407.91776089999996"/>
    <x v="2"/>
    <n v="0.22999999999999998"/>
    <x v="0"/>
    <n v="408"/>
    <n v="1224"/>
  </r>
  <r>
    <n v="5"/>
    <d v="2019-06-13T17:00:00"/>
    <s v="EG-white"/>
    <n v="17"/>
    <n v="5"/>
    <n v="-0.17999999999999972"/>
    <m/>
    <n v="0.33333333333333331"/>
    <x v="0"/>
    <n v="1.0000000000000009E-2"/>
    <x v="0"/>
    <n v="0"/>
    <n v="1"/>
  </r>
  <r>
    <n v="4"/>
    <d v="2019-06-13T17:00:00"/>
    <s v="EG-white"/>
    <n v="17"/>
    <n v="5"/>
    <n v="-0.17999999999999972"/>
    <m/>
    <n v="7.6552930999999997"/>
    <x v="0"/>
    <n v="-0.1160000000000001"/>
    <x v="2"/>
    <n v="8"/>
    <n v="23"/>
  </r>
  <r>
    <n v="3"/>
    <d v="2019-06-13T17:00:00"/>
    <s v="EG-white"/>
    <n v="17"/>
    <n v="5"/>
    <n v="-0.17999999999999972"/>
    <m/>
    <n v="89.676290599999987"/>
    <x v="3"/>
    <n v="6.6000000000000059E-2"/>
    <x v="3"/>
    <n v="90"/>
    <n v="269"/>
  </r>
  <r>
    <n v="2"/>
    <d v="2019-06-13T17:00:00"/>
    <s v="EG-white"/>
    <n v="17"/>
    <n v="5"/>
    <n v="-0.17999999999999972"/>
    <m/>
    <n v="251.53105899999997"/>
    <x v="3"/>
    <n v="-0.21999999999999975"/>
    <x v="0"/>
    <n v="252"/>
    <n v="755"/>
  </r>
  <r>
    <n v="1"/>
    <d v="2019-06-13T17:00:00"/>
    <s v="EG-white"/>
    <n v="17"/>
    <n v="5"/>
    <n v="-0.17999999999999972"/>
    <m/>
    <n v="550.08748989999992"/>
    <x v="2"/>
    <n v="8.0000000000000071E-2"/>
    <x v="4"/>
    <n v="550"/>
    <n v="1650"/>
  </r>
  <r>
    <n v="3"/>
    <d v="2019-06-13T17:00:00"/>
    <s v="EG-white"/>
    <n v="16"/>
    <n v="3"/>
    <n v="0.12000000000000011"/>
    <m/>
    <n v="0.33333333333333331"/>
    <x v="0"/>
    <n v="1.0000000000000009E-2"/>
    <x v="0"/>
    <n v="0"/>
    <n v="1"/>
  </r>
  <r>
    <n v="2"/>
    <d v="2019-06-13T17:00:00"/>
    <s v="EG-white"/>
    <n v="16"/>
    <n v="3"/>
    <n v="0.12000000000000011"/>
    <m/>
    <n v="6.5616797999999994"/>
    <x v="0"/>
    <n v="-0.15799999999999992"/>
    <x v="5"/>
    <n v="7"/>
    <n v="20"/>
  </r>
  <r>
    <n v="1"/>
    <d v="2019-06-13T17:00:00"/>
    <s v="EG-white"/>
    <n v="16"/>
    <n v="3"/>
    <n v="0.12000000000000011"/>
    <m/>
    <n v="185.91426099999998"/>
    <x v="2"/>
    <n v="0.26800000000000002"/>
    <x v="4"/>
    <n v="186"/>
    <n v="558"/>
  </r>
  <r>
    <n v="5"/>
    <d v="2019-06-13T17:00:00"/>
    <s v="EG-white"/>
    <n v="15"/>
    <n v="5"/>
    <n v="-0.30499999999999972"/>
    <m/>
    <n v="0.66666666666666663"/>
    <x v="0"/>
    <n v="1.0000000000000009E-2"/>
    <x v="0"/>
    <n v="1"/>
    <n v="2"/>
  </r>
  <r>
    <n v="4"/>
    <d v="2019-06-13T17:00:00"/>
    <s v="EG-white"/>
    <n v="15"/>
    <n v="5"/>
    <n v="-0.30499999999999972"/>
    <m/>
    <n v="6.5616797999999994"/>
    <x v="0"/>
    <n v="-0.15799999999999992"/>
    <x v="6"/>
    <n v="7"/>
    <n v="20"/>
  </r>
  <r>
    <n v="3"/>
    <d v="2019-06-13T17:00:00"/>
    <s v="EG-white"/>
    <n v="15"/>
    <n v="5"/>
    <n v="-0.30499999999999972"/>
    <m/>
    <n v="15.310586199999999"/>
    <x v="4"/>
    <n v="-0.37200000000000011"/>
    <x v="0"/>
    <n v="15"/>
    <n v="46"/>
  </r>
  <r>
    <n v="2"/>
    <d v="2019-06-13T17:00:00"/>
    <s v="EG-white"/>
    <n v="15"/>
    <n v="5"/>
    <n v="-0.30499999999999972"/>
    <m/>
    <n v="199.03762059999997"/>
    <x v="1"/>
    <n v="-0.29000000000000004"/>
    <x v="7"/>
    <n v="199"/>
    <n v="597"/>
  </r>
  <r>
    <n v="1"/>
    <d v="2019-06-13T17:00:00"/>
    <s v="EG-white"/>
    <n v="15"/>
    <n v="5"/>
    <n v="-0.30499999999999972"/>
    <m/>
    <n v="507.43657119999995"/>
    <x v="2"/>
    <n v="0.50500000000000034"/>
    <x v="0"/>
    <n v="507"/>
    <n v="1522"/>
  </r>
  <r>
    <n v="4"/>
    <d v="2019-06-13T17:00:00"/>
    <s v="EG-white"/>
    <n v="14"/>
    <n v="4"/>
    <n v="1.9999999999999574E-2"/>
    <m/>
    <n v="0.66666666666666663"/>
    <x v="0"/>
    <n v="1.0000000000000009E-2"/>
    <x v="0"/>
    <n v="1"/>
    <n v="2"/>
  </r>
  <r>
    <n v="3"/>
    <d v="2019-06-13T17:00:00"/>
    <s v="EG-white"/>
    <n v="14"/>
    <n v="4"/>
    <n v="1.9999999999999574E-2"/>
    <m/>
    <n v="7.6552930999999997"/>
    <x v="0"/>
    <n v="-0.1160000000000001"/>
    <x v="8"/>
    <n v="8"/>
    <n v="23"/>
  </r>
  <r>
    <n v="2"/>
    <d v="2019-06-13T17:00:00"/>
    <s v="EG-white"/>
    <n v="14"/>
    <n v="4"/>
    <n v="1.9999999999999574E-2"/>
    <m/>
    <n v="134.5144359"/>
    <x v="1"/>
    <n v="1.6000000000000236E-2"/>
    <x v="0"/>
    <n v="135"/>
    <n v="404"/>
  </r>
  <r>
    <n v="1"/>
    <d v="2019-06-13T17:00:00"/>
    <s v="EG-white"/>
    <n v="14"/>
    <n v="4"/>
    <n v="1.9999999999999574E-2"/>
    <m/>
    <n v="387.13910819999995"/>
    <x v="2"/>
    <n v="0.10999999999999943"/>
    <x v="0"/>
    <n v="387"/>
    <n v="1161"/>
  </r>
  <r>
    <n v="6"/>
    <d v="2019-06-13T17:00:00"/>
    <s v="EG-white"/>
    <n v="13"/>
    <n v="6"/>
    <n v="-1.9169999999999998"/>
    <m/>
    <n v="0.33333333333333331"/>
    <x v="0"/>
    <n v="1.0000000000000009E-2"/>
    <x v="0"/>
    <n v="0"/>
    <n v="1"/>
  </r>
  <r>
    <n v="5"/>
    <d v="2019-06-13T17:00:00"/>
    <s v="EG-white"/>
    <n v="13"/>
    <n v="6"/>
    <n v="-1.9169999999999998"/>
    <m/>
    <n v="0.66666666666666663"/>
    <x v="0"/>
    <n v="-1"/>
    <x v="8"/>
    <n v="1"/>
    <n v="2"/>
  </r>
  <r>
    <n v="4"/>
    <d v="2019-06-13T17:00:00"/>
    <s v="EG-white"/>
    <n v="13"/>
    <n v="6"/>
    <n v="-1.9169999999999998"/>
    <m/>
    <n v="1.3333333333333333"/>
    <x v="0"/>
    <n v="-0.88000000000000012"/>
    <x v="0"/>
    <n v="1"/>
    <n v="4"/>
  </r>
  <r>
    <n v="3"/>
    <d v="2019-06-13T17:00:00"/>
    <s v="EG-white"/>
    <n v="13"/>
    <n v="6"/>
    <n v="-1.9169999999999998"/>
    <m/>
    <n v="21.872265999999996"/>
    <x v="4"/>
    <n v="0.39999999999999991"/>
    <x v="0"/>
    <n v="22"/>
    <n v="66"/>
  </r>
  <r>
    <n v="2"/>
    <d v="2019-06-13T17:00:00"/>
    <s v="EG-white"/>
    <n v="13"/>
    <n v="6"/>
    <n v="-1.9169999999999998"/>
    <m/>
    <n v="188.10148759999998"/>
    <x v="1"/>
    <n v="-0.33999999999999986"/>
    <x v="9"/>
    <n v="188"/>
    <n v="564"/>
  </r>
  <r>
    <n v="1"/>
    <d v="2019-06-13T17:00:00"/>
    <s v="EG-white"/>
    <n v="13"/>
    <n v="6"/>
    <n v="-1.9169999999999998"/>
    <m/>
    <n v="399.16885449999995"/>
    <x v="2"/>
    <n v="-0.10699999999999976"/>
    <x v="0"/>
    <n v="399"/>
    <n v="1198"/>
  </r>
  <r>
    <n v="4"/>
    <d v="2019-06-13T17:00:00"/>
    <s v="EG-white"/>
    <n v="12"/>
    <n v="4"/>
    <n v="0.16999999999999993"/>
    <m/>
    <n v="1.3333333333333333"/>
    <x v="0"/>
    <n v="0.12999999999999989"/>
    <x v="0"/>
    <n v="1"/>
    <n v="4"/>
  </r>
  <r>
    <n v="3"/>
    <d v="2019-06-13T17:00:00"/>
    <s v="EG-white"/>
    <n v="12"/>
    <n v="4"/>
    <n v="0.16999999999999993"/>
    <m/>
    <n v="13.123359599999999"/>
    <x v="0"/>
    <n v="-7.7999999999999847E-2"/>
    <x v="8"/>
    <n v="13"/>
    <n v="39"/>
  </r>
  <r>
    <n v="2"/>
    <d v="2019-06-13T17:00:00"/>
    <s v="EG-white"/>
    <n v="12"/>
    <n v="4"/>
    <n v="0.16999999999999993"/>
    <m/>
    <n v="153.10586199999997"/>
    <x v="1"/>
    <n v="-7.2000000000000064E-2"/>
    <x v="10"/>
    <n v="153"/>
    <n v="459"/>
  </r>
  <r>
    <n v="1"/>
    <d v="2019-06-13T17:00:00"/>
    <s v="EG-white"/>
    <n v="12"/>
    <n v="4"/>
    <n v="0.16999999999999993"/>
    <m/>
    <n v="426.50918699999994"/>
    <x v="2"/>
    <n v="0.18999999999999995"/>
    <x v="0"/>
    <n v="427"/>
    <n v="1280"/>
  </r>
  <r>
    <n v="3"/>
    <d v="2019-06-13T17:00:00"/>
    <s v="EG-white"/>
    <n v="11"/>
    <n v="3"/>
    <n v="0.12000000000000011"/>
    <m/>
    <n v="1.3333333333333333"/>
    <x v="0"/>
    <n v="0.12999999999999989"/>
    <x v="0"/>
    <n v="1"/>
    <n v="4"/>
  </r>
  <r>
    <n v="2"/>
    <d v="2019-06-13T17:00:00"/>
    <s v="EG-white"/>
    <n v="11"/>
    <n v="3"/>
    <n v="0.12000000000000011"/>
    <m/>
    <n v="12.029746299999999"/>
    <x v="0"/>
    <n v="-0.10199999999999987"/>
    <x v="8"/>
    <n v="12"/>
    <n v="36"/>
  </r>
  <r>
    <n v="1"/>
    <d v="2019-06-13T17:00:00"/>
    <s v="EG-white"/>
    <n v="11"/>
    <n v="3"/>
    <n v="0.12000000000000011"/>
    <m/>
    <n v="189.19510089999997"/>
    <x v="2"/>
    <n v="9.2000000000000082E-2"/>
    <x v="11"/>
    <n v="189"/>
    <n v="568"/>
  </r>
  <r>
    <n v="5"/>
    <d v="2019-06-13T17:00:00"/>
    <s v="EG-white"/>
    <n v="10"/>
    <n v="5"/>
    <n v="-0.52500000000000036"/>
    <m/>
    <n v="0.33333333333333331"/>
    <x v="0"/>
    <n v="1.0000000000000009E-2"/>
    <x v="0"/>
    <n v="0"/>
    <n v="1"/>
  </r>
  <r>
    <n v="4"/>
    <d v="2019-06-13T17:00:00"/>
    <s v="EG-white"/>
    <n v="10"/>
    <n v="5"/>
    <n v="-0.52500000000000036"/>
    <m/>
    <n v="1.6666666666666667"/>
    <x v="0"/>
    <n v="-0.88000000000000012"/>
    <x v="2"/>
    <n v="2"/>
    <n v="5"/>
  </r>
  <r>
    <n v="3"/>
    <d v="2019-06-13T17:00:00"/>
    <s v="EG-white"/>
    <n v="10"/>
    <n v="5"/>
    <n v="-0.52500000000000036"/>
    <m/>
    <n v="15.857392849999998"/>
    <x v="3"/>
    <n v="0.3400000000000003"/>
    <x v="0"/>
    <n v="16"/>
    <n v="48"/>
  </r>
  <r>
    <n v="2"/>
    <d v="2019-06-13T17:00:00"/>
    <s v="EG-white"/>
    <n v="10"/>
    <n v="5"/>
    <n v="-0.52500000000000036"/>
    <m/>
    <n v="155.29308859999998"/>
    <x v="1"/>
    <n v="-0.49000000000000021"/>
    <x v="0"/>
    <n v="155"/>
    <n v="466"/>
  </r>
  <r>
    <n v="1"/>
    <d v="2019-06-13T17:00:00"/>
    <s v="EG-white"/>
    <n v="10"/>
    <n v="5"/>
    <n v="-0.52500000000000036"/>
    <m/>
    <n v="477.90901209999998"/>
    <x v="2"/>
    <n v="0.49499999999999966"/>
    <x v="0"/>
    <n v="478"/>
    <n v="1434"/>
  </r>
  <r>
    <n v="5"/>
    <d v="2019-06-13T17:00:00"/>
    <s v="EG-white"/>
    <n v="9"/>
    <n v="5"/>
    <n v="-0.20999999999999996"/>
    <m/>
    <n v="1"/>
    <x v="0"/>
    <n v="4.0000000000000036E-2"/>
    <x v="0"/>
    <n v="1"/>
    <n v="3"/>
  </r>
  <r>
    <n v="4"/>
    <d v="2019-06-13T17:00:00"/>
    <s v="EG-white"/>
    <n v="9"/>
    <n v="5"/>
    <n v="-0.20999999999999996"/>
    <m/>
    <n v="26.246719199999998"/>
    <x v="1"/>
    <n v="0.35999999999999988"/>
    <x v="0"/>
    <n v="26"/>
    <n v="79"/>
  </r>
  <r>
    <n v="3"/>
    <d v="2019-06-13T17:00:00"/>
    <s v="EG-white"/>
    <n v="9"/>
    <n v="5"/>
    <n v="-0.20999999999999996"/>
    <m/>
    <n v="133.42082259999998"/>
    <x v="3"/>
    <n v="-0.25"/>
    <x v="0"/>
    <n v="133"/>
    <n v="400"/>
  </r>
  <r>
    <n v="2"/>
    <d v="2019-06-13T17:00:00"/>
    <s v="EG-white"/>
    <n v="9"/>
    <n v="5"/>
    <n v="-0.20999999999999996"/>
    <m/>
    <n v="266.84164519999996"/>
    <x v="3"/>
    <n v="-0.31999999999999984"/>
    <x v="0"/>
    <n v="267"/>
    <n v="801"/>
  </r>
  <r>
    <n v="1"/>
    <d v="2019-06-13T17:00:00"/>
    <s v="EG-white"/>
    <n v="9"/>
    <n v="5"/>
    <n v="-0.20999999999999996"/>
    <m/>
    <n v="530.40245049999999"/>
    <x v="2"/>
    <n v="-4.0000000000000036E-2"/>
    <x v="12"/>
    <n v="530"/>
    <n v="1591"/>
  </r>
  <r>
    <n v="3"/>
    <d v="2019-06-13T17:00:00"/>
    <s v="EG-white"/>
    <n v="8"/>
    <n v="3"/>
    <n v="-9.9999999999997868E-3"/>
    <m/>
    <n v="1"/>
    <x v="0"/>
    <n v="4.0000000000000036E-2"/>
    <x v="0"/>
    <n v="1"/>
    <n v="3"/>
  </r>
  <r>
    <n v="2"/>
    <d v="2019-06-13T17:00:00"/>
    <s v="EG-white"/>
    <n v="8"/>
    <n v="3"/>
    <n v="-9.9999999999997868E-3"/>
    <m/>
    <n v="9.8425196999999987"/>
    <x v="0"/>
    <n v="-7.0000000000000062E-2"/>
    <x v="5"/>
    <n v="10"/>
    <n v="30"/>
  </r>
  <r>
    <n v="1"/>
    <d v="2019-06-13T17:00:00"/>
    <s v="EG-white"/>
    <n v="8"/>
    <n v="3"/>
    <n v="-9.9999999999997868E-3"/>
    <m/>
    <n v="152.01224869999999"/>
    <x v="2"/>
    <n v="2.000000000000024E-2"/>
    <x v="12"/>
    <n v="152"/>
    <n v="456"/>
  </r>
  <r>
    <n v="4"/>
    <d v="2019-06-13T17:00:00"/>
    <s v="EG-white"/>
    <n v="7"/>
    <n v="4"/>
    <n v="0.41000000000000014"/>
    <m/>
    <n v="0.33333333333333331"/>
    <x v="0"/>
    <n v="1.0000000000000009E-2"/>
    <x v="0"/>
    <n v="0"/>
    <n v="1"/>
  </r>
  <r>
    <n v="3"/>
    <d v="2019-06-13T17:00:00"/>
    <s v="EG-white"/>
    <n v="7"/>
    <n v="4"/>
    <n v="0.41000000000000014"/>
    <m/>
    <n v="2.1872265999999998"/>
    <x v="0"/>
    <n v="-0.66999999999999993"/>
    <x v="5"/>
    <n v="2"/>
    <n v="7"/>
  </r>
  <r>
    <n v="2"/>
    <d v="2019-06-13T17:00:00"/>
    <s v="EG-white"/>
    <n v="7"/>
    <n v="4"/>
    <n v="0.41000000000000014"/>
    <m/>
    <n v="168.41644819999999"/>
    <x v="1"/>
    <n v="0.74"/>
    <x v="1"/>
    <n v="168"/>
    <n v="505"/>
  </r>
  <r>
    <n v="1"/>
    <d v="2019-06-13T17:00:00"/>
    <s v="EG-white"/>
    <n v="7"/>
    <n v="4"/>
    <n v="0.41000000000000014"/>
    <m/>
    <n v="460.41119929999996"/>
    <x v="2"/>
    <n v="0.33000000000000007"/>
    <x v="0"/>
    <n v="460"/>
    <n v="1381"/>
  </r>
  <r>
    <n v="4"/>
    <d v="2019-06-13T17:00:00"/>
    <s v="EG-white"/>
    <n v="6"/>
    <n v="4"/>
    <n v="4.9999999999998934E-3"/>
    <m/>
    <n v="1.3333333333333333"/>
    <x v="0"/>
    <n v="0.12999999999999989"/>
    <x v="0"/>
    <n v="1"/>
    <n v="4"/>
  </r>
  <r>
    <n v="3"/>
    <d v="2019-06-13T17:00:00"/>
    <s v="EG-white"/>
    <n v="6"/>
    <n v="4"/>
    <n v="4.9999999999998934E-3"/>
    <m/>
    <n v="7.6552930999999997"/>
    <x v="0"/>
    <n v="-0.23599999999999999"/>
    <x v="5"/>
    <n v="8"/>
    <n v="23"/>
  </r>
  <r>
    <n v="2"/>
    <d v="2019-06-13T17:00:00"/>
    <s v="EG-white"/>
    <n v="6"/>
    <n v="4"/>
    <n v="4.9999999999998934E-3"/>
    <m/>
    <n v="152.01224869999999"/>
    <x v="1"/>
    <n v="8.6000000000000076E-2"/>
    <x v="3"/>
    <n v="152"/>
    <n v="456"/>
  </r>
  <r>
    <n v="1"/>
    <d v="2019-06-13T17:00:00"/>
    <s v="EG-white"/>
    <n v="6"/>
    <n v="4"/>
    <n v="4.9999999999998934E-3"/>
    <m/>
    <n v="377.29658849999998"/>
    <x v="2"/>
    <n v="2.4999999999999911E-2"/>
    <x v="0"/>
    <n v="377"/>
    <n v="1132"/>
  </r>
  <r>
    <n v="4"/>
    <d v="2019-06-13T17:00:00"/>
    <s v="EG-white"/>
    <n v="5"/>
    <n v="4"/>
    <n v="-8.0000000000000071E-2"/>
    <m/>
    <n v="0.33333333333333331"/>
    <x v="0"/>
    <n v="1.0000000000000009E-2"/>
    <x v="0"/>
    <n v="0"/>
    <n v="1"/>
  </r>
  <r>
    <n v="3"/>
    <d v="2019-06-13T17:00:00"/>
    <s v="EG-white"/>
    <n v="5"/>
    <n v="4"/>
    <n v="-8.0000000000000071E-2"/>
    <m/>
    <n v="4.3744531999999996"/>
    <x v="0"/>
    <n v="-0.29800000000000004"/>
    <x v="8"/>
    <n v="4"/>
    <n v="13"/>
  </r>
  <r>
    <n v="2"/>
    <d v="2019-06-13T17:00:00"/>
    <s v="EG-white"/>
    <n v="5"/>
    <n v="4"/>
    <n v="-8.0000000000000071E-2"/>
    <m/>
    <n v="134.5144359"/>
    <x v="1"/>
    <n v="0.19800000000000018"/>
    <x v="0"/>
    <n v="135"/>
    <n v="404"/>
  </r>
  <r>
    <n v="1"/>
    <d v="2019-06-13T17:00:00"/>
    <s v="EG-white"/>
    <n v="5"/>
    <n v="4"/>
    <n v="-8.0000000000000071E-2"/>
    <m/>
    <n v="334.64566979999995"/>
    <x v="2"/>
    <n v="9.9999999999997868E-3"/>
    <x v="0"/>
    <n v="335"/>
    <n v="1004"/>
  </r>
  <r>
    <n v="5"/>
    <d v="2019-06-13T17:00:00"/>
    <s v="EG-white"/>
    <n v="4"/>
    <n v="5"/>
    <n v="-0.17999999999999972"/>
    <m/>
    <n v="0.33333333333333331"/>
    <x v="0"/>
    <n v="1.0000000000000009E-2"/>
    <x v="0"/>
    <n v="0"/>
    <n v="1"/>
  </r>
  <r>
    <n v="4"/>
    <d v="2019-06-13T17:00:00"/>
    <s v="EG-white"/>
    <n v="4"/>
    <n v="5"/>
    <n v="-0.17999999999999972"/>
    <m/>
    <n v="4.9212598499999993"/>
    <x v="0"/>
    <n v="-0.26400000000000001"/>
    <x v="8"/>
    <n v="5"/>
    <n v="15"/>
  </r>
  <r>
    <n v="3"/>
    <d v="2019-06-13T17:00:00"/>
    <s v="EG-white"/>
    <n v="4"/>
    <n v="5"/>
    <n v="-0.17999999999999972"/>
    <m/>
    <n v="41.557305399999997"/>
    <x v="3"/>
    <n v="3.3999999999999808E-2"/>
    <x v="0"/>
    <n v="42"/>
    <n v="125"/>
  </r>
  <r>
    <n v="2"/>
    <d v="2019-06-13T17:00:00"/>
    <s v="EG-white"/>
    <n v="4"/>
    <n v="5"/>
    <n v="-0.17999999999999972"/>
    <m/>
    <n v="284.33945799999998"/>
    <x v="1"/>
    <n v="0"/>
    <x v="0"/>
    <n v="284"/>
    <n v="853"/>
  </r>
  <r>
    <n v="1"/>
    <d v="2019-06-13T17:00:00"/>
    <s v="EG-white"/>
    <n v="4"/>
    <n v="5"/>
    <n v="-0.17999999999999972"/>
    <m/>
    <n v="577.42782239999997"/>
    <x v="2"/>
    <n v="4.000000000000048E-2"/>
    <x v="0"/>
    <n v="577"/>
    <n v="1732"/>
  </r>
  <r>
    <n v="3"/>
    <d v="2019-06-13T17:00:00"/>
    <s v="EG-white"/>
    <n v="3"/>
    <n v="3"/>
    <n v="0.20999999999999996"/>
    <m/>
    <n v="1.3342082259999999"/>
    <x v="0"/>
    <n v="0.12999999999999989"/>
    <x v="0"/>
    <n v="1"/>
    <n v="4"/>
  </r>
  <r>
    <n v="2"/>
    <d v="2019-06-13T17:00:00"/>
    <s v="EG-white"/>
    <n v="3"/>
    <n v="3"/>
    <n v="0.20999999999999996"/>
    <m/>
    <n v="15.310586199999999"/>
    <x v="0"/>
    <n v="-2.1999999999999797E-2"/>
    <x v="6"/>
    <n v="15"/>
    <n v="46"/>
  </r>
  <r>
    <n v="1"/>
    <d v="2019-06-13T17:00:00"/>
    <s v="EG-white"/>
    <n v="3"/>
    <n v="3"/>
    <n v="0.20999999999999996"/>
    <m/>
    <n v="226.37795309999998"/>
    <x v="2"/>
    <n v="0.10199999999999987"/>
    <x v="7"/>
    <n v="226"/>
    <n v="679"/>
  </r>
  <r>
    <n v="5"/>
    <d v="2019-06-13T17:00:00"/>
    <s v="EG-white"/>
    <n v="2"/>
    <n v="5"/>
    <n v="-1.1890000000000001"/>
    <m/>
    <n v="0.33333333333333331"/>
    <x v="0"/>
    <n v="1.0000000000000009E-2"/>
    <x v="0"/>
    <n v="0"/>
    <n v="1"/>
  </r>
  <r>
    <n v="4"/>
    <d v="2019-06-13T17:00:00"/>
    <s v="EG-white"/>
    <n v="2"/>
    <n v="5"/>
    <n v="-1.1890000000000001"/>
    <m/>
    <n v="2.1872265999999998"/>
    <x v="0"/>
    <n v="-0.66999999999999993"/>
    <x v="8"/>
    <n v="2"/>
    <n v="7"/>
  </r>
  <r>
    <n v="3"/>
    <d v="2019-06-13T17:00:00"/>
    <s v="EG-white"/>
    <n v="2"/>
    <n v="5"/>
    <n v="-1.1890000000000001"/>
    <m/>
    <n v="21.872265999999996"/>
    <x v="3"/>
    <n v="0.24999999999999978"/>
    <x v="0"/>
    <n v="22"/>
    <n v="66"/>
  </r>
  <r>
    <n v="2"/>
    <d v="2019-06-13T17:00:00"/>
    <s v="EG-white"/>
    <n v="2"/>
    <n v="5"/>
    <n v="-1.1890000000000001"/>
    <m/>
    <n v="32.808398999999994"/>
    <x v="3"/>
    <n v="-1"/>
    <x v="0"/>
    <n v="33"/>
    <n v="98"/>
  </r>
  <r>
    <n v="1"/>
    <d v="2019-06-13T17:00:00"/>
    <s v="EG-white"/>
    <n v="2"/>
    <n v="5"/>
    <n v="-1.1890000000000001"/>
    <m/>
    <n v="300.74365749999998"/>
    <x v="2"/>
    <n v="0.22100000000000009"/>
    <x v="0"/>
    <n v="301"/>
    <n v="902"/>
  </r>
  <r>
    <n v="3"/>
    <d v="2019-06-13T17:00:00"/>
    <s v="EG-white"/>
    <n v="1"/>
    <n v="3"/>
    <n v="1.08"/>
    <m/>
    <n v="3.2808398999999997"/>
    <x v="0"/>
    <n v="0.56000000000000005"/>
    <x v="0"/>
    <n v="3"/>
    <n v="10"/>
  </r>
  <r>
    <n v="2"/>
    <d v="2019-06-13T17:00:00"/>
    <s v="EG-white"/>
    <n v="1"/>
    <n v="3"/>
    <n v="1.08"/>
    <m/>
    <n v="121.39107629999999"/>
    <x v="1"/>
    <n v="0.29000000000000004"/>
    <x v="13"/>
    <n v="121"/>
    <n v="364"/>
  </r>
  <r>
    <n v="1"/>
    <d v="2019-06-13T17:00:00"/>
    <s v="EG-white"/>
    <n v="1"/>
    <n v="3"/>
    <n v="1.08"/>
    <m/>
    <n v="419.94750719999996"/>
    <x v="2"/>
    <n v="0.22999999999999998"/>
    <x v="0"/>
    <n v="420"/>
    <n v="1260"/>
  </r>
  <r>
    <n v="3"/>
    <d v="2019-06-08T09:25:00"/>
    <s v="nngc"/>
    <n v="18"/>
    <n v="3"/>
    <n v="0.97500000000000009"/>
    <m/>
    <n v="3.2808398999999997"/>
    <x v="0"/>
    <n v="0.56000000000000005"/>
    <x v="0"/>
    <n v="3"/>
    <n v="10"/>
  </r>
  <r>
    <n v="2"/>
    <d v="2019-06-08T09:25:00"/>
    <s v="nngc"/>
    <n v="18"/>
    <n v="3"/>
    <n v="0.97500000000000009"/>
    <m/>
    <n v="166.22922159999999"/>
    <x v="1"/>
    <n v="0.52"/>
    <x v="13"/>
    <n v="166"/>
    <n v="499"/>
  </r>
  <r>
    <n v="1"/>
    <d v="2019-06-08T09:25:00"/>
    <s v="nngc"/>
    <n v="18"/>
    <n v="3"/>
    <n v="0.97500000000000009"/>
    <m/>
    <n v="358.70516239999995"/>
    <x v="2"/>
    <n v="-0.10499999999999998"/>
    <x v="0"/>
    <n v="359"/>
    <n v="1076"/>
  </r>
  <r>
    <n v="4"/>
    <d v="2019-06-08T09:25:00"/>
    <s v="nngc"/>
    <n v="17"/>
    <n v="4"/>
    <n v="-0.95000000000000018"/>
    <m/>
    <n v="0.33333333333333331"/>
    <x v="0"/>
    <n v="1.0000000000000009E-2"/>
    <x v="0"/>
    <n v="0"/>
    <n v="1"/>
  </r>
  <r>
    <n v="3"/>
    <d v="2019-06-08T09:25:00"/>
    <s v="nngc"/>
    <n v="17"/>
    <n v="4"/>
    <n v="-0.95000000000000018"/>
    <m/>
    <n v="1.6666666666666667"/>
    <x v="0"/>
    <n v="-0.88000000000000012"/>
    <x v="6"/>
    <n v="2"/>
    <n v="5"/>
  </r>
  <r>
    <n v="2"/>
    <d v="2019-06-08T09:25:00"/>
    <s v="nngc"/>
    <n v="17"/>
    <n v="4"/>
    <n v="-0.95000000000000018"/>
    <m/>
    <n v="8.7489063999999992"/>
    <x v="1"/>
    <n v="-0.10000000000000009"/>
    <x v="0"/>
    <n v="9"/>
    <n v="26"/>
  </r>
  <r>
    <n v="1"/>
    <d v="2019-06-08T09:25:00"/>
    <s v="nngc"/>
    <n v="17"/>
    <n v="4"/>
    <n v="-0.95000000000000018"/>
    <m/>
    <n v="168.41644819999999"/>
    <x v="2"/>
    <n v="2.0000000000000018E-2"/>
    <x v="14"/>
    <n v="168"/>
    <n v="505"/>
  </r>
  <r>
    <n v="5"/>
    <d v="2019-06-08T09:25:00"/>
    <s v="nngc"/>
    <n v="16"/>
    <n v="5"/>
    <n v="-1.06"/>
    <m/>
    <n v="0.33333333333333331"/>
    <x v="0"/>
    <n v="1.0000000000000009E-2"/>
    <x v="0"/>
    <n v="0"/>
    <n v="1"/>
  </r>
  <r>
    <n v="4"/>
    <d v="2019-06-08T09:25:00"/>
    <s v="nngc"/>
    <n v="16"/>
    <n v="5"/>
    <n v="-1.06"/>
    <m/>
    <n v="1.6666666666666667"/>
    <x v="0"/>
    <n v="-0.88000000000000012"/>
    <x v="6"/>
    <n v="2"/>
    <n v="5"/>
  </r>
  <r>
    <n v="3"/>
    <d v="2019-06-08T09:25:00"/>
    <s v="nngc"/>
    <n v="16"/>
    <n v="5"/>
    <n v="-1.06"/>
    <m/>
    <n v="24.059492599999999"/>
    <x v="0"/>
    <n v="0.16199999999999992"/>
    <x v="6"/>
    <n v="24"/>
    <n v="72"/>
  </r>
  <r>
    <n v="2"/>
    <d v="2019-06-08T09:25:00"/>
    <s v="nngc"/>
    <n v="16"/>
    <n v="5"/>
    <n v="-1.06"/>
    <m/>
    <n v="129.04636939999997"/>
    <x v="1"/>
    <n v="-0.38199999999999967"/>
    <x v="15"/>
    <n v="129"/>
    <n v="387"/>
  </r>
  <r>
    <n v="1"/>
    <d v="2019-06-08T09:25:00"/>
    <s v="nngc"/>
    <n v="16"/>
    <n v="5"/>
    <n v="-1.06"/>
    <m/>
    <n v="344.48818949999998"/>
    <x v="2"/>
    <n v="2.9999999999999805E-2"/>
    <x v="0"/>
    <n v="344"/>
    <n v="1033"/>
  </r>
  <r>
    <n v="5"/>
    <d v="2019-06-08T09:25:00"/>
    <s v="nngc"/>
    <n v="15"/>
    <n v="5"/>
    <n v="-0.92250000000000032"/>
    <m/>
    <n v="0.66666666666666663"/>
    <x v="0"/>
    <n v="1.0000000000000009E-2"/>
    <x v="0"/>
    <n v="1"/>
    <n v="2"/>
  </r>
  <r>
    <n v="4"/>
    <d v="2019-06-08T09:25:00"/>
    <s v="nngc"/>
    <n v="15"/>
    <n v="5"/>
    <n v="-0.92250000000000032"/>
    <m/>
    <n v="3.3333333333333335"/>
    <x v="0"/>
    <n v="-0.39999999999999991"/>
    <x v="6"/>
    <n v="3"/>
    <n v="10"/>
  </r>
  <r>
    <n v="3"/>
    <d v="2019-06-08T09:25:00"/>
    <s v="nngc"/>
    <n v="15"/>
    <n v="5"/>
    <n v="-0.92250000000000032"/>
    <m/>
    <n v="63.429571399999993"/>
    <x v="1"/>
    <n v="9.000000000000008E-2"/>
    <x v="13"/>
    <n v="63"/>
    <n v="190"/>
  </r>
  <r>
    <n v="2"/>
    <d v="2019-06-08T09:25:00"/>
    <s v="nngc"/>
    <n v="15"/>
    <n v="5"/>
    <n v="-0.92250000000000032"/>
    <m/>
    <n v="133.42082259999998"/>
    <x v="3"/>
    <n v="-0.55000000000000027"/>
    <x v="0"/>
    <n v="133"/>
    <n v="400"/>
  </r>
  <r>
    <n v="1"/>
    <d v="2019-06-08T09:25:00"/>
    <s v="nngc"/>
    <n v="15"/>
    <n v="5"/>
    <n v="-0.92250000000000032"/>
    <m/>
    <n v="398.07524119999994"/>
    <x v="2"/>
    <n v="-7.2500000000000231E-2"/>
    <x v="0"/>
    <n v="398"/>
    <n v="1194"/>
  </r>
  <r>
    <n v="4"/>
    <d v="2019-06-08T09:25:00"/>
    <s v="nngc"/>
    <n v="14"/>
    <n v="4"/>
    <n v="0.28000000000000025"/>
    <m/>
    <n v="1.3333333333333333"/>
    <x v="0"/>
    <n v="0.12999999999999989"/>
    <x v="0"/>
    <n v="1"/>
    <n v="4"/>
  </r>
  <r>
    <n v="3"/>
    <d v="2019-06-08T09:25:00"/>
    <s v="nngc"/>
    <n v="14"/>
    <n v="4"/>
    <n v="0.28000000000000025"/>
    <m/>
    <n v="15.310586199999999"/>
    <x v="4"/>
    <n v="0.35000000000000009"/>
    <x v="0"/>
    <n v="15"/>
    <n v="46"/>
  </r>
  <r>
    <n v="2"/>
    <d v="2019-06-08T09:25:00"/>
    <s v="nngc"/>
    <n v="14"/>
    <n v="4"/>
    <n v="0.28000000000000025"/>
    <m/>
    <n v="172.7909014"/>
    <x v="1"/>
    <n v="-0.39999999999999991"/>
    <x v="7"/>
    <n v="173"/>
    <n v="518"/>
  </r>
  <r>
    <n v="1"/>
    <d v="2019-06-08T09:25:00"/>
    <s v="nngc"/>
    <n v="14"/>
    <n v="4"/>
    <n v="0.28000000000000025"/>
    <m/>
    <n v="447.28783969999995"/>
    <x v="2"/>
    <n v="0.20000000000000018"/>
    <x v="0"/>
    <n v="447"/>
    <n v="1342"/>
  </r>
  <r>
    <n v="4"/>
    <d v="2019-06-08T09:25:00"/>
    <s v="nngc"/>
    <n v="13"/>
    <n v="4"/>
    <n v="0.79"/>
    <m/>
    <n v="3"/>
    <x v="0"/>
    <n v="0.56000000000000005"/>
    <x v="0"/>
    <n v="3"/>
    <n v="9"/>
  </r>
  <r>
    <n v="3"/>
    <d v="2019-06-08T09:25:00"/>
    <s v="nngc"/>
    <n v="13"/>
    <n v="4"/>
    <n v="0.79"/>
    <m/>
    <n v="60.148731499999997"/>
    <x v="1"/>
    <n v="0.14000000000000012"/>
    <x v="13"/>
    <n v="60"/>
    <n v="180"/>
  </r>
  <r>
    <n v="2"/>
    <d v="2019-06-08T09:25:00"/>
    <s v="nngc"/>
    <n v="13"/>
    <n v="4"/>
    <n v="0.79"/>
    <m/>
    <n v="328.08398999999997"/>
    <x v="1"/>
    <n v="0.17999999999999972"/>
    <x v="0"/>
    <n v="328"/>
    <n v="984"/>
  </r>
  <r>
    <n v="1"/>
    <d v="2019-06-08T09:25:00"/>
    <s v="nngc"/>
    <n v="13"/>
    <n v="4"/>
    <n v="0.79"/>
    <m/>
    <n v="541.33858349999991"/>
    <x v="2"/>
    <n v="-8.9999999999999858E-2"/>
    <x v="0"/>
    <n v="541"/>
    <n v="1624"/>
  </r>
  <r>
    <n v="2"/>
    <d v="2019-06-08T09:25:00"/>
    <s v="nngc"/>
    <n v="12"/>
    <n v="2"/>
    <n v="1.153"/>
    <m/>
    <n v="2.6666666666666665"/>
    <x v="0"/>
    <n v="0.41999999999999993"/>
    <x v="0"/>
    <n v="3"/>
    <n v="8"/>
  </r>
  <r>
    <n v="1"/>
    <d v="2019-06-08T09:25:00"/>
    <s v="nngc"/>
    <n v="12"/>
    <n v="2"/>
    <n v="1.153"/>
    <m/>
    <n v="194.66316739999999"/>
    <x v="2"/>
    <n v="0.7330000000000001"/>
    <x v="1"/>
    <n v="195"/>
    <n v="584"/>
  </r>
  <r>
    <n v="5"/>
    <d v="2019-06-08T09:25:00"/>
    <s v="nngc"/>
    <n v="11"/>
    <n v="5"/>
    <n v="-0.17999999999999972"/>
    <m/>
    <n v="5.4680664999999991"/>
    <x v="0"/>
    <n v="0.79800000000000004"/>
    <x v="0"/>
    <n v="5"/>
    <n v="16"/>
  </r>
  <r>
    <n v="4"/>
    <d v="2019-06-08T09:25:00"/>
    <s v="nngc"/>
    <n v="11"/>
    <n v="5"/>
    <n v="-0.17999999999999972"/>
    <m/>
    <n v="14.216972899999998"/>
    <x v="0"/>
    <n v="-0.72199999999999998"/>
    <x v="5"/>
    <n v="14"/>
    <n v="43"/>
  </r>
  <r>
    <n v="3"/>
    <d v="2019-06-08T09:25:00"/>
    <s v="nngc"/>
    <n v="11"/>
    <n v="5"/>
    <n v="-0.17999999999999972"/>
    <m/>
    <n v="132.32720929999999"/>
    <x v="1"/>
    <n v="-0.16599999999999993"/>
    <x v="16"/>
    <n v="132"/>
    <n v="397"/>
  </r>
  <r>
    <n v="2"/>
    <d v="2019-06-08T09:25:00"/>
    <s v="nngc"/>
    <n v="11"/>
    <n v="5"/>
    <n v="-0.17999999999999972"/>
    <m/>
    <n v="351.04986929999995"/>
    <x v="1"/>
    <n v="0.12000000000000011"/>
    <x v="0"/>
    <n v="351"/>
    <n v="1053"/>
  </r>
  <r>
    <n v="1"/>
    <d v="2019-06-08T09:25:00"/>
    <s v="nngc"/>
    <n v="11"/>
    <n v="5"/>
    <n v="-0.17999999999999972"/>
    <m/>
    <n v="612.42344799999989"/>
    <x v="2"/>
    <n v="-0.20999999999999996"/>
    <x v="0"/>
    <n v="612"/>
    <n v="1837"/>
  </r>
  <r>
    <n v="4"/>
    <d v="2019-06-08T09:25:00"/>
    <s v="nngc"/>
    <n v="10"/>
    <n v="4"/>
    <n v="-0.10999999999999988"/>
    <m/>
    <n v="1"/>
    <x v="0"/>
    <n v="4.0000000000000036E-2"/>
    <x v="0"/>
    <n v="1"/>
    <n v="3"/>
  </r>
  <r>
    <n v="3"/>
    <d v="2019-06-08T09:25:00"/>
    <s v="nngc"/>
    <n v="10"/>
    <n v="4"/>
    <n v="-0.10999999999999988"/>
    <m/>
    <n v="20.778652699999999"/>
    <x v="3"/>
    <n v="0.54999999999999982"/>
    <x v="0"/>
    <n v="21"/>
    <n v="62"/>
  </r>
  <r>
    <n v="2"/>
    <d v="2019-06-08T09:25:00"/>
    <s v="nngc"/>
    <n v="10"/>
    <n v="4"/>
    <n v="-0.10999999999999988"/>
    <m/>
    <n v="106.08049009999999"/>
    <x v="3"/>
    <n v="-0.62999999999999989"/>
    <x v="0"/>
    <n v="106"/>
    <n v="318"/>
  </r>
  <r>
    <n v="1"/>
    <d v="2019-06-08T09:25:00"/>
    <s v="nngc"/>
    <n v="10"/>
    <n v="4"/>
    <n v="-0.10999999999999988"/>
    <m/>
    <n v="321.52231019999999"/>
    <x v="2"/>
    <n v="-6.999999999999984E-2"/>
    <x v="0"/>
    <n v="322"/>
    <n v="965"/>
  </r>
  <r>
    <n v="3"/>
    <d v="2019-06-08T09:25:00"/>
    <s v="nngc"/>
    <n v="9"/>
    <n v="3"/>
    <n v="-2.9999999999999805E-2"/>
    <m/>
    <n v="0.33333333333333331"/>
    <x v="0"/>
    <n v="1.0000000000000009E-2"/>
    <x v="0"/>
    <n v="0"/>
    <n v="1"/>
  </r>
  <r>
    <n v="2"/>
    <d v="2019-06-08T09:25:00"/>
    <s v="nngc"/>
    <n v="9"/>
    <n v="3"/>
    <n v="-2.9999999999999805E-2"/>
    <m/>
    <n v="2.1872265999999998"/>
    <x v="0"/>
    <n v="-0.66999999999999993"/>
    <x v="5"/>
    <n v="2"/>
    <n v="7"/>
  </r>
  <r>
    <n v="1"/>
    <d v="2019-06-08T09:25:00"/>
    <s v="nngc"/>
    <n v="9"/>
    <n v="3"/>
    <n v="-2.9999999999999805E-2"/>
    <m/>
    <n v="135.60804919999998"/>
    <x v="2"/>
    <n v="0.63000000000000012"/>
    <x v="1"/>
    <n v="136"/>
    <n v="407"/>
  </r>
  <r>
    <n v="5"/>
    <d v="2019-06-08T09:25:00"/>
    <s v="nngc"/>
    <n v="8"/>
    <n v="5"/>
    <n v="-0.30499999999999972"/>
    <m/>
    <n v="0.66666666666666663"/>
    <x v="0"/>
    <n v="1.0000000000000009E-2"/>
    <x v="0"/>
    <n v="1"/>
    <n v="2"/>
  </r>
  <r>
    <n v="4"/>
    <d v="2019-06-08T09:25:00"/>
    <s v="nngc"/>
    <n v="8"/>
    <n v="5"/>
    <n v="-0.30499999999999972"/>
    <m/>
    <n v="7.6552930999999997"/>
    <x v="0"/>
    <n v="-0.1160000000000001"/>
    <x v="6"/>
    <n v="8"/>
    <n v="23"/>
  </r>
  <r>
    <n v="3"/>
    <d v="2019-06-08T09:25:00"/>
    <s v="nngc"/>
    <n v="8"/>
    <n v="5"/>
    <n v="-0.30499999999999972"/>
    <m/>
    <n v="134.5144359"/>
    <x v="3"/>
    <n v="0.25600000000000001"/>
    <x v="3"/>
    <n v="135"/>
    <n v="404"/>
  </r>
  <r>
    <n v="2"/>
    <d v="2019-06-08T09:25:00"/>
    <s v="nngc"/>
    <n v="8"/>
    <n v="5"/>
    <n v="-0.30499999999999972"/>
    <m/>
    <n v="199.03762059999997"/>
    <x v="5"/>
    <n v="-0.2799999999999998"/>
    <x v="0"/>
    <n v="199"/>
    <n v="597"/>
  </r>
  <r>
    <n v="1"/>
    <d v="2019-06-08T09:25:00"/>
    <s v="nngc"/>
    <n v="8"/>
    <n v="5"/>
    <n v="-0.30499999999999972"/>
    <m/>
    <n v="510.71741109999994"/>
    <x v="2"/>
    <n v="-0.17499999999999982"/>
    <x v="0"/>
    <n v="511"/>
    <n v="1532"/>
  </r>
  <r>
    <n v="4"/>
    <d v="2019-06-08T09:25:00"/>
    <s v="nngc"/>
    <n v="7"/>
    <n v="4"/>
    <n v="8.8499999999999801E-2"/>
    <m/>
    <n v="0.66666666666666663"/>
    <x v="0"/>
    <n v="1.0000000000000009E-2"/>
    <x v="0"/>
    <n v="1"/>
    <n v="2"/>
  </r>
  <r>
    <n v="3"/>
    <d v="2019-06-08T09:25:00"/>
    <s v="nngc"/>
    <n v="7"/>
    <n v="4"/>
    <n v="8.8499999999999801E-2"/>
    <m/>
    <n v="7.6552930999999997"/>
    <x v="0"/>
    <n v="-0.1160000000000001"/>
    <x v="2"/>
    <n v="8"/>
    <n v="23"/>
  </r>
  <r>
    <n v="2"/>
    <d v="2019-06-08T09:25:00"/>
    <s v="nngc"/>
    <n v="7"/>
    <n v="4"/>
    <n v="8.8499999999999801E-2"/>
    <m/>
    <n v="134.5144359"/>
    <x v="1"/>
    <n v="1.6000000000000236E-2"/>
    <x v="3"/>
    <n v="135"/>
    <n v="404"/>
  </r>
  <r>
    <n v="1"/>
    <d v="2019-06-08T09:25:00"/>
    <s v="nngc"/>
    <n v="7"/>
    <n v="4"/>
    <n v="8.8499999999999801E-2"/>
    <m/>
    <n v="400.26246779999997"/>
    <x v="2"/>
    <n v="0.17849999999999966"/>
    <x v="0"/>
    <n v="400"/>
    <n v="1201"/>
  </r>
  <r>
    <n v="4"/>
    <d v="2019-06-08T09:25:00"/>
    <s v="nngc"/>
    <n v="6"/>
    <n v="4"/>
    <n v="-0.17499999999999982"/>
    <m/>
    <n v="0.33333333333333331"/>
    <x v="0"/>
    <n v="1.0000000000000009E-2"/>
    <x v="0"/>
    <n v="0"/>
    <n v="1"/>
  </r>
  <r>
    <n v="3"/>
    <d v="2019-06-08T09:25:00"/>
    <s v="nngc"/>
    <n v="6"/>
    <n v="4"/>
    <n v="-0.17499999999999982"/>
    <m/>
    <n v="6.5616797999999994"/>
    <x v="0"/>
    <n v="-0.15799999999999992"/>
    <x v="2"/>
    <n v="7"/>
    <n v="20"/>
  </r>
  <r>
    <n v="2"/>
    <d v="2019-06-08T09:25:00"/>
    <s v="nngc"/>
    <n v="6"/>
    <n v="4"/>
    <n v="-0.17499999999999982"/>
    <m/>
    <n v="82.020997499999993"/>
    <x v="1"/>
    <n v="-0.10200000000000009"/>
    <x v="4"/>
    <n v="82"/>
    <n v="246"/>
  </r>
  <r>
    <n v="1"/>
    <d v="2019-06-08T09:25:00"/>
    <s v="nngc"/>
    <n v="6"/>
    <n v="4"/>
    <n v="-0.17499999999999982"/>
    <m/>
    <n v="309.49256389999999"/>
    <x v="2"/>
    <n v="7.5000000000000178E-2"/>
    <x v="0"/>
    <n v="309"/>
    <n v="928"/>
  </r>
  <r>
    <n v="5"/>
    <d v="2019-06-08T09:25:00"/>
    <s v="nngc"/>
    <n v="5"/>
    <n v="5"/>
    <n v="-1.08"/>
    <m/>
    <n v="0.33333333333333331"/>
    <x v="0"/>
    <n v="1.0000000000000009E-2"/>
    <x v="0"/>
    <n v="0"/>
    <n v="1"/>
  </r>
  <r>
    <n v="4"/>
    <d v="2019-06-08T09:25:00"/>
    <s v="nngc"/>
    <n v="5"/>
    <n v="5"/>
    <n v="-1.08"/>
    <m/>
    <n v="1"/>
    <x v="0"/>
    <n v="-0.97"/>
    <x v="2"/>
    <n v="1"/>
    <n v="3"/>
  </r>
  <r>
    <n v="3"/>
    <d v="2019-06-08T09:25:00"/>
    <s v="nngc"/>
    <n v="5"/>
    <n v="5"/>
    <n v="-1.08"/>
    <m/>
    <n v="7.6552930999999997"/>
    <x v="0"/>
    <n v="-0.14600000000000013"/>
    <x v="2"/>
    <n v="8"/>
    <n v="23"/>
  </r>
  <r>
    <n v="2"/>
    <d v="2019-06-08T09:25:00"/>
    <s v="nngc"/>
    <n v="5"/>
    <n v="5"/>
    <n v="-1.08"/>
    <m/>
    <n v="129.04636939999997"/>
    <x v="3"/>
    <n v="0.25600000000000001"/>
    <x v="3"/>
    <n v="129"/>
    <n v="387"/>
  </r>
  <r>
    <n v="1"/>
    <d v="2019-06-08T09:25:00"/>
    <s v="nngc"/>
    <n v="5"/>
    <n v="5"/>
    <n v="-1.08"/>
    <m/>
    <n v="329.17760329999999"/>
    <x v="2"/>
    <n v="-0.22999999999999998"/>
    <x v="0"/>
    <n v="329"/>
    <n v="988"/>
  </r>
  <r>
    <n v="2"/>
    <d v="2019-06-08T09:25:00"/>
    <s v="nngc"/>
    <n v="4"/>
    <n v="2"/>
    <n v="0.9700000000000002"/>
    <m/>
    <n v="1.6666666666666667"/>
    <x v="0"/>
    <n v="0.12999999999999989"/>
    <x v="0"/>
    <n v="2"/>
    <n v="5"/>
  </r>
  <r>
    <n v="1"/>
    <d v="2019-06-08T09:25:00"/>
    <s v="nngc"/>
    <n v="4"/>
    <n v="2"/>
    <n v="0.9700000000000002"/>
    <m/>
    <n v="129.04636939999997"/>
    <x v="2"/>
    <n v="0.8400000000000003"/>
    <x v="1"/>
    <n v="129"/>
    <n v="387"/>
  </r>
  <r>
    <n v="6"/>
    <d v="2019-06-08T09:25:00"/>
    <s v="nngc"/>
    <n v="3"/>
    <n v="6"/>
    <n v="-2.29"/>
    <m/>
    <n v="0.33333333333333331"/>
    <x v="0"/>
    <n v="1.0000000000000009E-2"/>
    <x v="0"/>
    <n v="0"/>
    <n v="1"/>
  </r>
  <r>
    <n v="5"/>
    <d v="2019-06-08T09:25:00"/>
    <s v="nngc"/>
    <n v="3"/>
    <n v="6"/>
    <n v="-2.29"/>
    <m/>
    <n v="2.1872265999999998"/>
    <x v="0"/>
    <n v="-0.66999999999999993"/>
    <x v="6"/>
    <n v="2"/>
    <n v="7"/>
  </r>
  <r>
    <n v="4"/>
    <d v="2019-06-08T09:25:00"/>
    <s v="nngc"/>
    <n v="3"/>
    <n v="6"/>
    <n v="-2.29"/>
    <m/>
    <n v="21.872265999999996"/>
    <x v="4"/>
    <n v="0.18999999999999972"/>
    <x v="0"/>
    <n v="22"/>
    <n v="66"/>
  </r>
  <r>
    <n v="3"/>
    <d v="2019-06-08T09:25:00"/>
    <s v="nngc"/>
    <n v="3"/>
    <n v="6"/>
    <n v="-2.29"/>
    <m/>
    <n v="38.276465499999993"/>
    <x v="5"/>
    <n v="0.27"/>
    <x v="0"/>
    <n v="38"/>
    <n v="115"/>
  </r>
  <r>
    <n v="2"/>
    <d v="2019-06-08T09:25:00"/>
    <s v="nngc"/>
    <n v="3"/>
    <n v="6"/>
    <n v="-2.29"/>
    <m/>
    <n v="60.148731499999997"/>
    <x v="5"/>
    <n v="-1"/>
    <x v="0"/>
    <n v="60"/>
    <n v="180"/>
  </r>
  <r>
    <n v="1"/>
    <d v="2019-06-08T09:25:00"/>
    <s v="nngc"/>
    <n v="3"/>
    <n v="6"/>
    <n v="-2.29"/>
    <m/>
    <n v="276.68416489999998"/>
    <x v="2"/>
    <n v="-1.0899999999999999"/>
    <x v="0"/>
    <n v="277"/>
    <n v="830"/>
  </r>
  <r>
    <n v="4"/>
    <d v="2019-06-08T09:25:00"/>
    <s v="nngc"/>
    <n v="2"/>
    <n v="4"/>
    <n v="0.74000000000000021"/>
    <m/>
    <n v="0.66666666666666663"/>
    <x v="0"/>
    <n v="1.0000000000000009E-2"/>
    <x v="0"/>
    <n v="1"/>
    <n v="2"/>
  </r>
  <r>
    <n v="3"/>
    <d v="2019-06-08T09:25:00"/>
    <s v="nngc"/>
    <n v="2"/>
    <n v="4"/>
    <n v="0.74000000000000021"/>
    <m/>
    <n v="4.3744531999999996"/>
    <x v="0"/>
    <n v="-0.29800000000000004"/>
    <x v="5"/>
    <n v="4"/>
    <n v="13"/>
  </r>
  <r>
    <n v="2"/>
    <d v="2019-06-08T09:25:00"/>
    <s v="nngc"/>
    <n v="2"/>
    <n v="4"/>
    <n v="0.74000000000000021"/>
    <m/>
    <n v="215.44182009999997"/>
    <x v="1"/>
    <n v="0.60799999999999987"/>
    <x v="17"/>
    <n v="215"/>
    <n v="646"/>
  </r>
  <r>
    <n v="1"/>
    <d v="2019-06-08T09:25:00"/>
    <s v="nngc"/>
    <n v="2"/>
    <n v="4"/>
    <n v="0.74000000000000021"/>
    <m/>
    <n v="513.99825099999998"/>
    <x v="2"/>
    <n v="0.42000000000000037"/>
    <x v="0"/>
    <n v="514"/>
    <n v="1542"/>
  </r>
  <r>
    <n v="5"/>
    <d v="2019-06-08T09:25:00"/>
    <s v="nngc"/>
    <n v="1"/>
    <n v="5"/>
    <n v="-0.95000000000000018"/>
    <m/>
    <n v="0.33333333333333331"/>
    <x v="0"/>
    <n v="1.0000000000000009E-2"/>
    <x v="0"/>
    <n v="0"/>
    <n v="1"/>
  </r>
  <r>
    <n v="4"/>
    <d v="2019-06-08T09:25:00"/>
    <s v="nngc"/>
    <n v="1"/>
    <n v="5"/>
    <n v="-0.95000000000000018"/>
    <m/>
    <n v="0.66666666666666663"/>
    <x v="0"/>
    <n v="-1"/>
    <x v="0"/>
    <n v="1"/>
    <n v="2"/>
  </r>
  <r>
    <n v="3"/>
    <d v="2019-06-08T09:25:00"/>
    <s v="nngc"/>
    <n v="1"/>
    <n v="5"/>
    <n v="-0.95000000000000018"/>
    <m/>
    <n v="4.3744531999999996"/>
    <x v="0"/>
    <n v="-0.29800000000000004"/>
    <x v="5"/>
    <n v="4"/>
    <n v="13"/>
  </r>
  <r>
    <n v="2"/>
    <d v="2019-06-08T09:25:00"/>
    <s v="nngc"/>
    <n v="1"/>
    <n v="5"/>
    <n v="-0.95000000000000018"/>
    <m/>
    <n v="167.32283489999998"/>
    <x v="1"/>
    <n v="0.3680000000000001"/>
    <x v="17"/>
    <n v="167"/>
    <n v="502"/>
  </r>
  <r>
    <n v="1"/>
    <d v="2019-06-08T09:25:00"/>
    <s v="nngc"/>
    <n v="1"/>
    <n v="5"/>
    <n v="-0.95000000000000018"/>
    <m/>
    <n v="393.70078799999999"/>
    <x v="2"/>
    <n v="-3.0000000000000249E-2"/>
    <x v="0"/>
    <n v="394"/>
    <n v="1181"/>
  </r>
  <r>
    <n v="4"/>
    <d v="2019-06-07T13:00:00"/>
    <s v="nngc"/>
    <n v="16"/>
    <n v="4"/>
    <n v="-6.0000000000000053E-2"/>
    <m/>
    <n v="0.33333333333333331"/>
    <x v="0"/>
    <n v="1.0000000000000009E-2"/>
    <x v="0"/>
    <n v="0"/>
    <n v="1"/>
  </r>
  <r>
    <n v="3"/>
    <d v="2019-06-07T13:00:00"/>
    <s v="nngc"/>
    <n v="16"/>
    <n v="4"/>
    <n v="-6.0000000000000053E-2"/>
    <m/>
    <n v="4.3744531999999996"/>
    <x v="0"/>
    <n v="-0.29800000000000004"/>
    <x v="2"/>
    <n v="4"/>
    <n v="13"/>
  </r>
  <r>
    <n v="2"/>
    <d v="2019-06-07T13:00:00"/>
    <s v="nngc"/>
    <n v="16"/>
    <n v="4"/>
    <n v="-6.0000000000000053E-2"/>
    <m/>
    <n v="164.04199499999999"/>
    <x v="3"/>
    <n v="0.51800000000000002"/>
    <x v="0"/>
    <n v="164"/>
    <n v="492"/>
  </r>
  <r>
    <n v="1"/>
    <d v="2019-06-07T13:00:00"/>
    <s v="nngc"/>
    <n v="16"/>
    <n v="4"/>
    <n v="-6.0000000000000053E-2"/>
    <m/>
    <n v="344.48818949999998"/>
    <x v="2"/>
    <n v="-0.29000000000000004"/>
    <x v="0"/>
    <n v="344"/>
    <n v="1033"/>
  </r>
  <r>
    <n v="5"/>
    <d v="2019-06-07T13:00:00"/>
    <s v="nngc"/>
    <n v="15"/>
    <n v="5"/>
    <n v="-0.92250000000000032"/>
    <m/>
    <n v="0.33333333333333331"/>
    <x v="0"/>
    <n v="1.0000000000000009E-2"/>
    <x v="0"/>
    <n v="0"/>
    <n v="1"/>
  </r>
  <r>
    <n v="4"/>
    <d v="2019-06-07T13:00:00"/>
    <s v="nngc"/>
    <n v="15"/>
    <n v="5"/>
    <n v="-0.92250000000000032"/>
    <m/>
    <n v="8.7489063999999992"/>
    <x v="0"/>
    <n v="-7.0000000000000062E-2"/>
    <x v="8"/>
    <n v="9"/>
    <n v="26"/>
  </r>
  <r>
    <n v="3"/>
    <d v="2019-06-07T13:00:00"/>
    <s v="nngc"/>
    <n v="15"/>
    <n v="5"/>
    <n v="-0.92250000000000032"/>
    <m/>
    <n v="132.32720929999999"/>
    <x v="3"/>
    <n v="0.20999999999999996"/>
    <x v="0"/>
    <n v="132"/>
    <n v="397"/>
  </r>
  <r>
    <n v="2"/>
    <d v="2019-06-07T13:00:00"/>
    <s v="nngc"/>
    <n v="15"/>
    <n v="5"/>
    <n v="-0.92250000000000032"/>
    <m/>
    <n v="136.7016625"/>
    <x v="5"/>
    <n v="-0.35000000000000009"/>
    <x v="0"/>
    <n v="137"/>
    <n v="410"/>
  </r>
  <r>
    <n v="1"/>
    <d v="2019-06-07T13:00:00"/>
    <s v="nngc"/>
    <n v="15"/>
    <n v="5"/>
    <n v="-0.92250000000000032"/>
    <m/>
    <n v="398.07524119999994"/>
    <x v="2"/>
    <n v="-0.72250000000000014"/>
    <x v="0"/>
    <n v="398"/>
    <n v="1194"/>
  </r>
  <r>
    <n v="4"/>
    <d v="2019-06-07T13:00:00"/>
    <s v="nngc"/>
    <n v="14"/>
    <n v="4"/>
    <n v="0.28000000000000047"/>
    <m/>
    <n v="2"/>
    <x v="0"/>
    <n v="0.34000000000000008"/>
    <x v="0"/>
    <n v="2"/>
    <n v="6"/>
  </r>
  <r>
    <n v="3"/>
    <d v="2019-06-07T13:00:00"/>
    <s v="nngc"/>
    <n v="14"/>
    <n v="4"/>
    <n v="0.28000000000000047"/>
    <m/>
    <n v="13.123359599999999"/>
    <x v="3"/>
    <n v="0"/>
    <x v="0"/>
    <n v="13"/>
    <n v="39"/>
  </r>
  <r>
    <n v="2"/>
    <d v="2019-06-07T13:00:00"/>
    <s v="nngc"/>
    <n v="14"/>
    <n v="4"/>
    <n v="0.28000000000000047"/>
    <m/>
    <n v="166.22922159999999"/>
    <x v="1"/>
    <n v="-0.25999999999999979"/>
    <x v="10"/>
    <n v="166"/>
    <n v="499"/>
  </r>
  <r>
    <n v="1"/>
    <d v="2019-06-07T13:00:00"/>
    <s v="nngc"/>
    <n v="14"/>
    <n v="4"/>
    <n v="0.28000000000000047"/>
    <m/>
    <n v="447.28783969999995"/>
    <x v="2"/>
    <n v="0.20000000000000018"/>
    <x v="0"/>
    <n v="447"/>
    <n v="1342"/>
  </r>
  <r>
    <n v="5"/>
    <d v="2019-06-07T13:00:00"/>
    <s v="nngc"/>
    <n v="13"/>
    <n v="5"/>
    <n v="-0.20999999999999996"/>
    <m/>
    <n v="0.66666666666666663"/>
    <x v="0"/>
    <n v="1.0000000000000009E-2"/>
    <x v="0"/>
    <n v="1"/>
    <n v="2"/>
  </r>
  <r>
    <n v="4"/>
    <d v="2019-06-07T13:00:00"/>
    <s v="nngc"/>
    <n v="13"/>
    <n v="5"/>
    <n v="-0.20999999999999996"/>
    <m/>
    <n v="15.310586199999999"/>
    <x v="0"/>
    <n v="9.8000000000000087E-2"/>
    <x v="8"/>
    <n v="15"/>
    <n v="46"/>
  </r>
  <r>
    <n v="3"/>
    <d v="2019-06-07T13:00:00"/>
    <s v="nngc"/>
    <n v="13"/>
    <n v="5"/>
    <n v="-0.20999999999999996"/>
    <m/>
    <n v="190.28871419999999"/>
    <x v="1"/>
    <n v="8.1999999999999851E-2"/>
    <x v="0"/>
    <n v="190"/>
    <n v="571"/>
  </r>
  <r>
    <n v="2"/>
    <d v="2019-06-07T13:00:00"/>
    <s v="nngc"/>
    <n v="13"/>
    <n v="5"/>
    <n v="-0.20999999999999996"/>
    <m/>
    <n v="351.04986929999995"/>
    <x v="1"/>
    <n v="-0.1599999999999997"/>
    <x v="0"/>
    <n v="351"/>
    <n v="1053"/>
  </r>
  <r>
    <n v="1"/>
    <d v="2019-06-07T13:00:00"/>
    <s v="nngc"/>
    <n v="13"/>
    <n v="5"/>
    <n v="-0.20999999999999996"/>
    <m/>
    <n v="541.33858349999991"/>
    <x v="2"/>
    <n v="-0.24000000000000021"/>
    <x v="0"/>
    <n v="541"/>
    <n v="1624"/>
  </r>
  <r>
    <n v="5"/>
    <d v="2019-06-07T13:00:00"/>
    <s v="nngc"/>
    <n v="12"/>
    <n v="5"/>
    <n v="-1.915"/>
    <m/>
    <n v="0.33333333333333331"/>
    <x v="0"/>
    <n v="1.0000000000000009E-2"/>
    <x v="0"/>
    <n v="0"/>
    <n v="1"/>
  </r>
  <r>
    <n v="4"/>
    <d v="2019-06-07T13:00:00"/>
    <s v="nngc"/>
    <n v="12"/>
    <n v="5"/>
    <n v="-1.915"/>
    <m/>
    <n v="1.3333333333333333"/>
    <x v="0"/>
    <n v="-0.88000000000000012"/>
    <x v="0"/>
    <n v="1"/>
    <n v="4"/>
  </r>
  <r>
    <n v="3"/>
    <d v="2019-06-07T13:00:00"/>
    <s v="nngc"/>
    <n v="12"/>
    <n v="5"/>
    <n v="-1.915"/>
    <m/>
    <n v="4.3744531999999996"/>
    <x v="0"/>
    <n v="-0.41799999999999993"/>
    <x v="8"/>
    <n v="4"/>
    <n v="13"/>
  </r>
  <r>
    <n v="2"/>
    <d v="2019-06-07T13:00:00"/>
    <s v="nngc"/>
    <n v="12"/>
    <n v="5"/>
    <n v="-1.915"/>
    <m/>
    <n v="37.182852199999999"/>
    <x v="3"/>
    <n v="6.7999999999999838E-2"/>
    <x v="0"/>
    <n v="37"/>
    <n v="112"/>
  </r>
  <r>
    <n v="1"/>
    <d v="2019-06-07T13:00:00"/>
    <s v="nngc"/>
    <n v="12"/>
    <n v="5"/>
    <n v="-1.915"/>
    <m/>
    <n v="182.63342109999999"/>
    <x v="2"/>
    <n v="-0.69499999999999984"/>
    <x v="18"/>
    <n v="183"/>
    <n v="548"/>
  </r>
  <r>
    <n v="5"/>
    <d v="2019-05-31T13:00:00"/>
    <s v="Rosendaelsche Wit"/>
    <n v="9"/>
    <n v="5"/>
    <n v="-1.9500000000000002"/>
    <m/>
    <n v="0.33333333333333331"/>
    <x v="0"/>
    <n v="1.0000000000000009E-2"/>
    <x v="0"/>
    <n v="0"/>
    <n v="1"/>
  </r>
  <r>
    <n v="4"/>
    <d v="2019-05-31T13:00:00"/>
    <s v="Rosendaelsche Wit"/>
    <n v="9"/>
    <n v="5"/>
    <n v="-1.9500000000000002"/>
    <m/>
    <n v="3.2808398999999997"/>
    <x v="0"/>
    <n v="-0.44999999999999996"/>
    <x v="8"/>
    <n v="3"/>
    <n v="10"/>
  </r>
  <r>
    <n v="2"/>
    <d v="2019-05-31T13:00:00"/>
    <s v="Rosendaelsche Wit"/>
    <n v="9"/>
    <n v="5"/>
    <n v="-1.9500000000000002"/>
    <m/>
    <n v="21.872265999999996"/>
    <x v="3"/>
    <n v="-0.94"/>
    <x v="0"/>
    <n v="22"/>
    <n v="66"/>
  </r>
  <r>
    <n v="3"/>
    <d v="2019-05-31T13:00:00"/>
    <s v="Rosendaelsche Wit"/>
    <n v="9"/>
    <n v="5"/>
    <n v="-1.9500000000000002"/>
    <m/>
    <n v="27.340332499999999"/>
    <x v="4"/>
    <n v="-3.0000000000000249E-2"/>
    <x v="0"/>
    <n v="27"/>
    <n v="82"/>
  </r>
  <r>
    <n v="1"/>
    <d v="2019-05-31T13:00:00"/>
    <s v="Rosendaelsche Wit"/>
    <n v="9"/>
    <n v="5"/>
    <n v="-1.9500000000000002"/>
    <m/>
    <n v="167.32283489999998"/>
    <x v="2"/>
    <n v="-0.54"/>
    <x v="0"/>
    <n v="167"/>
    <n v="502"/>
  </r>
  <r>
    <n v="4"/>
    <d v="2019-05-31T13:00:00"/>
    <s v="Rosendaelsche Wit"/>
    <n v="8"/>
    <n v="4"/>
    <n v="0.82000000000000028"/>
    <m/>
    <n v="0.66666666666666663"/>
    <x v="0"/>
    <n v="1.0000000000000009E-2"/>
    <x v="0"/>
    <n v="1"/>
    <n v="2"/>
  </r>
  <r>
    <n v="3"/>
    <d v="2019-05-31T13:00:00"/>
    <s v="Rosendaelsche Wit"/>
    <n v="8"/>
    <n v="4"/>
    <n v="0.82000000000000028"/>
    <m/>
    <n v="37.182852199999999"/>
    <x v="3"/>
    <n v="0.7699999999999998"/>
    <x v="0"/>
    <n v="37"/>
    <n v="112"/>
  </r>
  <r>
    <n v="2"/>
    <d v="2019-05-31T13:00:00"/>
    <s v="Rosendaelsche Wit"/>
    <n v="8"/>
    <n v="4"/>
    <n v="0.82000000000000028"/>
    <m/>
    <n v="157.48031519999998"/>
    <x v="3"/>
    <n v="-0.54999999999999982"/>
    <x v="0"/>
    <n v="157"/>
    <n v="472"/>
  </r>
  <r>
    <n v="1"/>
    <d v="2019-05-31T13:00:00"/>
    <s v="Rosendaelsche Wit"/>
    <n v="8"/>
    <n v="4"/>
    <n v="0.82000000000000028"/>
    <m/>
    <n v="567.58530269999994"/>
    <x v="2"/>
    <n v="0.5900000000000003"/>
    <x v="0"/>
    <n v="568"/>
    <n v="1703"/>
  </r>
  <r>
    <n v="7"/>
    <d v="2019-05-31T13:00:00"/>
    <s v="Rosendaelsche Wit"/>
    <n v="7"/>
    <n v="7"/>
    <n v="-2.7750000000000004"/>
    <m/>
    <n v="0.33333333333333331"/>
    <x v="0"/>
    <n v="1.0000000000000009E-2"/>
    <x v="0"/>
    <n v="0"/>
    <n v="1"/>
  </r>
  <r>
    <n v="6"/>
    <d v="2019-05-31T13:00:00"/>
    <s v="Rosendaelsche Wit"/>
    <n v="7"/>
    <n v="7"/>
    <n v="-2.7750000000000004"/>
    <m/>
    <n v="3.2808398999999997"/>
    <x v="0"/>
    <n v="-0.44999999999999996"/>
    <x v="8"/>
    <n v="3"/>
    <n v="10"/>
  </r>
  <r>
    <n v="5"/>
    <d v="2019-05-31T13:00:00"/>
    <s v="Rosendaelsche Wit"/>
    <n v="7"/>
    <n v="7"/>
    <n v="-2.7750000000000004"/>
    <m/>
    <n v="14.216972899999998"/>
    <x v="3"/>
    <n v="-8.9999999999999858E-2"/>
    <x v="0"/>
    <n v="14"/>
    <n v="43"/>
  </r>
  <r>
    <n v="4"/>
    <d v="2019-05-31T13:00:00"/>
    <s v="Rosendaelsche Wit"/>
    <n v="7"/>
    <n v="7"/>
    <n v="-2.7750000000000004"/>
    <m/>
    <n v="87.489063999999985"/>
    <x v="1"/>
    <n v="-0.7200000000000002"/>
    <x v="0"/>
    <n v="87"/>
    <n v="262"/>
  </r>
  <r>
    <n v="3"/>
    <d v="2019-05-31T13:00:00"/>
    <s v="Rosendaelsche Wit"/>
    <n v="7"/>
    <n v="7"/>
    <n v="-2.7750000000000004"/>
    <m/>
    <n v="153.10586199999997"/>
    <x v="3"/>
    <n v="-0.52"/>
    <x v="0"/>
    <n v="153"/>
    <n v="459"/>
  </r>
  <r>
    <n v="2"/>
    <d v="2019-05-31T13:00:00"/>
    <s v="Rosendaelsche Wit"/>
    <n v="7"/>
    <n v="7"/>
    <n v="-2.7750000000000004"/>
    <m/>
    <n v="169.51006149999998"/>
    <x v="5"/>
    <n v="-0.41000000000000014"/>
    <x v="0"/>
    <n v="170"/>
    <n v="509"/>
  </r>
  <r>
    <n v="1"/>
    <d v="2019-05-31T13:00:00"/>
    <s v="Rosendaelsche Wit"/>
    <n v="7"/>
    <n v="7"/>
    <n v="-2.7750000000000004"/>
    <m/>
    <n v="431.97725349999996"/>
    <x v="2"/>
    <n v="-0.5950000000000002"/>
    <x v="0"/>
    <n v="432"/>
    <n v="1296"/>
  </r>
  <r>
    <n v="5"/>
    <d v="2019-05-31T13:00:00"/>
    <s v="Rosendaelsche Wit"/>
    <n v="6"/>
    <n v="5"/>
    <n v="-1.79"/>
    <m/>
    <n v="1.6666666666666667"/>
    <x v="0"/>
    <n v="0.12999999999999989"/>
    <x v="0"/>
    <n v="2"/>
    <n v="5"/>
  </r>
  <r>
    <n v="4"/>
    <d v="2019-05-31T13:00:00"/>
    <s v="Rosendaelsche Wit"/>
    <n v="6"/>
    <n v="5"/>
    <n v="-1.79"/>
    <m/>
    <n v="7.6552930999999997"/>
    <x v="0"/>
    <n v="-0.23599999999999999"/>
    <x v="8"/>
    <n v="8"/>
    <n v="23"/>
  </r>
  <r>
    <n v="3"/>
    <d v="2019-05-31T13:00:00"/>
    <s v="Rosendaelsche Wit"/>
    <n v="6"/>
    <n v="5"/>
    <n v="-1.79"/>
    <m/>
    <n v="15.310586199999999"/>
    <x v="3"/>
    <n v="-0.42399999999999971"/>
    <x v="0"/>
    <n v="15"/>
    <n v="46"/>
  </r>
  <r>
    <n v="2"/>
    <d v="2019-05-31T13:00:00"/>
    <s v="Rosendaelsche Wit"/>
    <n v="6"/>
    <n v="5"/>
    <n v="-1.79"/>
    <m/>
    <n v="19.685039399999997"/>
    <x v="3"/>
    <n v="-0.88000000000000034"/>
    <x v="0"/>
    <n v="20"/>
    <n v="59"/>
  </r>
  <r>
    <n v="1"/>
    <d v="2019-05-31T13:00:00"/>
    <s v="Rosendaelsche Wit"/>
    <n v="6"/>
    <n v="5"/>
    <n v="-1.79"/>
    <m/>
    <n v="222.00349989999998"/>
    <x v="2"/>
    <n v="-0.37999999999999989"/>
    <x v="19"/>
    <n v="222"/>
    <n v="666"/>
  </r>
  <r>
    <n v="4"/>
    <d v="2019-05-31T13:00:00"/>
    <s v="Rosendaelsche Wit"/>
    <n v="5"/>
    <n v="4"/>
    <n v="0.28000000000000025"/>
    <m/>
    <n v="0.33333333333333331"/>
    <x v="0"/>
    <n v="1.0000000000000009E-2"/>
    <x v="0"/>
    <n v="0"/>
    <n v="1"/>
  </r>
  <r>
    <n v="3"/>
    <d v="2019-05-31T13:00:00"/>
    <s v="Rosendaelsche Wit"/>
    <n v="5"/>
    <n v="4"/>
    <n v="0.28000000000000025"/>
    <m/>
    <n v="6.5616797999999994"/>
    <x v="0"/>
    <n v="-0.15799999999999992"/>
    <x v="8"/>
    <n v="7"/>
    <n v="20"/>
  </r>
  <r>
    <n v="2"/>
    <d v="2019-05-31T13:00:00"/>
    <s v="Rosendaelsche Wit"/>
    <n v="5"/>
    <n v="4"/>
    <n v="0.28000000000000025"/>
    <m/>
    <n v="156.38670189999999"/>
    <x v="1"/>
    <n v="0.12799999999999989"/>
    <x v="4"/>
    <n v="156"/>
    <n v="469"/>
  </r>
  <r>
    <n v="1"/>
    <d v="2019-05-31T13:00:00"/>
    <s v="Rosendaelsche Wit"/>
    <n v="5"/>
    <n v="4"/>
    <n v="0.28000000000000025"/>
    <m/>
    <n v="446.19422639999993"/>
    <x v="2"/>
    <n v="0.30000000000000027"/>
    <x v="0"/>
    <n v="446"/>
    <n v="1339"/>
  </r>
  <r>
    <n v="5"/>
    <d v="2019-05-31T13:00:00"/>
    <s v="Rosendaelsche Wit"/>
    <n v="4"/>
    <n v="5"/>
    <n v="-0.17999999999999972"/>
    <m/>
    <n v="0.33333333333333331"/>
    <x v="0"/>
    <n v="1.0000000000000009E-2"/>
    <x v="0"/>
    <n v="0"/>
    <n v="1"/>
  </r>
  <r>
    <n v="4"/>
    <d v="2019-05-31T13:00:00"/>
    <s v="Rosendaelsche Wit"/>
    <n v="4"/>
    <n v="5"/>
    <n v="-0.17999999999999972"/>
    <m/>
    <n v="5.4680664999999991"/>
    <x v="0"/>
    <n v="-0.21199999999999997"/>
    <x v="2"/>
    <n v="5"/>
    <n v="16"/>
  </r>
  <r>
    <n v="3"/>
    <d v="2019-05-31T13:00:00"/>
    <s v="Rosendaelsche Wit"/>
    <n v="4"/>
    <n v="5"/>
    <n v="-0.17999999999999972"/>
    <m/>
    <n v="26.246719199999998"/>
    <x v="3"/>
    <n v="-0.20800000000000018"/>
    <x v="0"/>
    <n v="26"/>
    <n v="79"/>
  </r>
  <r>
    <n v="2"/>
    <d v="2019-05-31T13:00:00"/>
    <s v="Rosendaelsche Wit"/>
    <n v="4"/>
    <n v="5"/>
    <n v="-0.17999999999999972"/>
    <m/>
    <n v="290.90113779999996"/>
    <x v="3"/>
    <n v="0.31000000000000005"/>
    <x v="20"/>
    <n v="291"/>
    <n v="873"/>
  </r>
  <r>
    <n v="1"/>
    <d v="2019-05-31T13:00:00"/>
    <s v="Rosendaelsche Wit"/>
    <n v="4"/>
    <n v="5"/>
    <n v="-0.17999999999999972"/>
    <m/>
    <n v="551.18110319999994"/>
    <x v="2"/>
    <n v="-7.9999999999999627E-2"/>
    <x v="0"/>
    <n v="551"/>
    <n v="1654"/>
  </r>
  <r>
    <n v="5"/>
    <d v="2019-05-31T13:00:00"/>
    <s v="Rosendaelsche Wit"/>
    <n v="3"/>
    <n v="5"/>
    <n v="-0.91999999999999993"/>
    <m/>
    <n v="2.6666666666666665"/>
    <x v="0"/>
    <n v="0.41999999999999993"/>
    <x v="0"/>
    <n v="3"/>
    <n v="8"/>
  </r>
  <r>
    <n v="4"/>
    <d v="2019-05-31T13:00:00"/>
    <s v="Rosendaelsche Wit"/>
    <n v="3"/>
    <n v="5"/>
    <n v="-0.91999999999999993"/>
    <m/>
    <n v="5.4680664999999991"/>
    <x v="0"/>
    <n v="-0.62199999999999989"/>
    <x v="5"/>
    <n v="5"/>
    <n v="16"/>
  </r>
  <r>
    <n v="3"/>
    <d v="2019-05-31T13:00:00"/>
    <s v="Rosendaelsche Wit"/>
    <n v="3"/>
    <n v="5"/>
    <n v="-0.91999999999999993"/>
    <m/>
    <n v="29.527559099999998"/>
    <x v="3"/>
    <n v="-0.20800000000000018"/>
    <x v="0"/>
    <n v="30"/>
    <n v="89"/>
  </r>
  <r>
    <n v="2"/>
    <d v="2019-05-31T13:00:00"/>
    <s v="Rosendaelsche Wit"/>
    <n v="3"/>
    <n v="5"/>
    <n v="-0.91999999999999993"/>
    <m/>
    <n v="139.98250239999999"/>
    <x v="3"/>
    <n v="-0.43999999999999995"/>
    <x v="21"/>
    <n v="140"/>
    <n v="420"/>
  </r>
  <r>
    <n v="1"/>
    <d v="2019-05-31T13:00:00"/>
    <s v="Rosendaelsche Wit"/>
    <n v="3"/>
    <n v="5"/>
    <n v="-0.91999999999999993"/>
    <m/>
    <n v="410.10498749999994"/>
    <x v="2"/>
    <n v="-6.999999999999984E-2"/>
    <x v="0"/>
    <n v="410"/>
    <n v="1230"/>
  </r>
  <r>
    <n v="4"/>
    <d v="2019-05-31T13:00:00"/>
    <s v="Rosendaelsche Wit"/>
    <n v="2"/>
    <n v="4"/>
    <n v="0.16999999999999993"/>
    <m/>
    <n v="0.66666666666666663"/>
    <x v="0"/>
    <n v="1.0000000000000009E-2"/>
    <x v="0"/>
    <n v="1"/>
    <n v="2"/>
  </r>
  <r>
    <n v="3"/>
    <d v="2019-05-31T13:00:00"/>
    <s v="Rosendaelsche Wit"/>
    <n v="2"/>
    <n v="4"/>
    <n v="0.16999999999999993"/>
    <m/>
    <n v="4.3744531999999996"/>
    <x v="0"/>
    <n v="-0.29800000000000004"/>
    <x v="5"/>
    <n v="4"/>
    <n v="13"/>
  </r>
  <r>
    <n v="2"/>
    <d v="2019-05-31T13:00:00"/>
    <s v="Rosendaelsche Wit"/>
    <n v="2"/>
    <n v="4"/>
    <n v="0.16999999999999993"/>
    <m/>
    <n v="96.237970399999995"/>
    <x v="1"/>
    <n v="8.7999999999999856E-2"/>
    <x v="17"/>
    <n v="96"/>
    <n v="289"/>
  </r>
  <r>
    <n v="1"/>
    <d v="2019-05-31T13:00:00"/>
    <s v="Rosendaelsche Wit"/>
    <n v="2"/>
    <n v="4"/>
    <n v="0.16999999999999993"/>
    <m/>
    <n v="424.32196039999997"/>
    <x v="2"/>
    <n v="0.37000000000000011"/>
    <x v="0"/>
    <n v="424"/>
    <n v="1273"/>
  </r>
  <r>
    <n v="5"/>
    <d v="2019-05-31T13:00:00"/>
    <s v="Rosendaelsche Wit"/>
    <n v="1"/>
    <n v="5"/>
    <n v="-0.9115000000000002"/>
    <m/>
    <n v="0.33333333333333331"/>
    <x v="0"/>
    <n v="1.0000000000000009E-2"/>
    <x v="0"/>
    <n v="0"/>
    <n v="1"/>
  </r>
  <r>
    <n v="4"/>
    <d v="2019-05-31T13:00:00"/>
    <s v="Rosendaelsche Wit"/>
    <n v="1"/>
    <n v="5"/>
    <n v="-0.9115000000000002"/>
    <m/>
    <n v="1"/>
    <x v="0"/>
    <n v="-0.97"/>
    <x v="6"/>
    <n v="1"/>
    <n v="3"/>
  </r>
  <r>
    <n v="3"/>
    <d v="2019-05-31T13:00:00"/>
    <s v="Rosendaelsche Wit"/>
    <n v="1"/>
    <n v="5"/>
    <n v="-0.9115000000000002"/>
    <m/>
    <n v="15.310586199999999"/>
    <x v="0"/>
    <n v="6.800000000000006E-2"/>
    <x v="6"/>
    <n v="15"/>
    <n v="46"/>
  </r>
  <r>
    <n v="2"/>
    <d v="2019-05-31T13:00:00"/>
    <s v="Rosendaelsche Wit"/>
    <n v="1"/>
    <n v="5"/>
    <n v="-0.9115000000000002"/>
    <m/>
    <n v="125.76552949999999"/>
    <x v="3"/>
    <n v="-2.8000000000000025E-2"/>
    <x v="7"/>
    <n v="126"/>
    <n v="377"/>
  </r>
  <r>
    <n v="1"/>
    <d v="2019-05-31T13:00:00"/>
    <s v="Rosendaelsche Wit"/>
    <n v="1"/>
    <n v="5"/>
    <n v="-0.9115000000000002"/>
    <m/>
    <n v="400.26246779999997"/>
    <x v="2"/>
    <n v="8.49999999999973E-3"/>
    <x v="0"/>
    <n v="400"/>
    <n v="1201"/>
  </r>
  <r>
    <n v="4"/>
    <d v="2019-05-30T16:00:00"/>
    <s v="EG-white"/>
    <n v="18"/>
    <n v="4"/>
    <n v="8.0000000000000071E-2"/>
    <m/>
    <n v="1.3333333333333333"/>
    <x v="0"/>
    <n v="0.12999999999999989"/>
    <x v="0"/>
    <n v="1"/>
    <n v="4"/>
  </r>
  <r>
    <n v="3"/>
    <d v="2019-05-30T16:00:00"/>
    <s v="EG-white"/>
    <n v="18"/>
    <n v="4"/>
    <n v="8.0000000000000071E-2"/>
    <m/>
    <n v="15.310586199999999"/>
    <x v="3"/>
    <n v="0.3400000000000003"/>
    <x v="0"/>
    <n v="15"/>
    <n v="46"/>
  </r>
  <r>
    <n v="2"/>
    <d v="2019-05-30T16:00:00"/>
    <s v="EG-white"/>
    <n v="18"/>
    <n v="4"/>
    <n v="8.0000000000000071E-2"/>
    <m/>
    <n v="134.5144359"/>
    <x v="1"/>
    <n v="-0.56000000000000005"/>
    <x v="7"/>
    <n v="135"/>
    <n v="404"/>
  </r>
  <r>
    <n v="1"/>
    <d v="2019-05-30T16:00:00"/>
    <s v="EG-white"/>
    <n v="18"/>
    <n v="4"/>
    <n v="8.0000000000000071E-2"/>
    <m/>
    <n v="407.91776089999996"/>
    <x v="2"/>
    <n v="0.16999999999999993"/>
    <x v="0"/>
    <n v="408"/>
    <n v="1224"/>
  </r>
  <r>
    <n v="5"/>
    <d v="2019-05-30T16:00:00"/>
    <s v="EG-white"/>
    <n v="17"/>
    <n v="5"/>
    <n v="-0.17999999999999972"/>
    <m/>
    <n v="0.33333333333333331"/>
    <x v="0"/>
    <n v="1.0000000000000009E-2"/>
    <x v="0"/>
    <n v="0"/>
    <n v="1"/>
  </r>
  <r>
    <n v="4"/>
    <d v="2019-05-30T16:00:00"/>
    <s v="EG-white"/>
    <n v="17"/>
    <n v="5"/>
    <n v="-0.17999999999999972"/>
    <m/>
    <n v="8.7489063999999992"/>
    <x v="0"/>
    <n v="-7.0000000000000062E-2"/>
    <x v="8"/>
    <n v="9"/>
    <n v="26"/>
  </r>
  <r>
    <n v="3"/>
    <d v="2019-05-30T16:00:00"/>
    <s v="EG-white"/>
    <n v="17"/>
    <n v="5"/>
    <n v="-0.17999999999999972"/>
    <m/>
    <n v="91.86351719999999"/>
    <x v="1"/>
    <n v="-0.18999999999999995"/>
    <x v="14"/>
    <n v="92"/>
    <n v="276"/>
  </r>
  <r>
    <n v="2"/>
    <d v="2019-05-30T16:00:00"/>
    <s v="EG-white"/>
    <n v="17"/>
    <n v="5"/>
    <n v="-0.17999999999999972"/>
    <m/>
    <n v="240.59492599999999"/>
    <x v="1"/>
    <n v="-0.16999999999999993"/>
    <x v="0"/>
    <n v="241"/>
    <n v="722"/>
  </r>
  <r>
    <n v="1"/>
    <d v="2019-05-30T16:00:00"/>
    <s v="EG-white"/>
    <n v="17"/>
    <n v="5"/>
    <n v="-0.17999999999999972"/>
    <m/>
    <n v="550.08748989999992"/>
    <x v="2"/>
    <n v="0.24000000000000021"/>
    <x v="0"/>
    <n v="550"/>
    <n v="1650"/>
  </r>
  <r>
    <n v="3"/>
    <d v="2019-05-30T16:00:00"/>
    <s v="EG-white"/>
    <n v="16"/>
    <n v="3"/>
    <n v="0.12000000000000011"/>
    <m/>
    <n v="0.33333333333333331"/>
    <x v="0"/>
    <n v="1.0000000000000009E-2"/>
    <x v="0"/>
    <n v="0"/>
    <n v="1"/>
  </r>
  <r>
    <n v="2"/>
    <d v="2019-05-30T16:00:00"/>
    <s v="EG-white"/>
    <n v="16"/>
    <n v="3"/>
    <n v="0.12000000000000011"/>
    <m/>
    <n v="5.4680664999999991"/>
    <x v="0"/>
    <n v="-0.21199999999999997"/>
    <x v="8"/>
    <n v="5"/>
    <n v="16"/>
  </r>
  <r>
    <n v="1"/>
    <d v="2019-05-30T16:00:00"/>
    <s v="EG-white"/>
    <n v="16"/>
    <n v="3"/>
    <n v="0.12000000000000011"/>
    <m/>
    <n v="185.91426099999998"/>
    <x v="2"/>
    <n v="0.32200000000000006"/>
    <x v="22"/>
    <n v="186"/>
    <n v="558"/>
  </r>
  <r>
    <n v="4"/>
    <d v="2019-05-30T16:00:00"/>
    <s v="EG-white"/>
    <n v="15"/>
    <n v="4"/>
    <n v="0.69500000000000028"/>
    <m/>
    <n v="0.66666666666666663"/>
    <x v="0"/>
    <n v="1.0000000000000009E-2"/>
    <x v="0"/>
    <n v="1"/>
    <n v="2"/>
  </r>
  <r>
    <n v="3"/>
    <d v="2019-05-30T16:00:00"/>
    <s v="EG-white"/>
    <n v="15"/>
    <n v="4"/>
    <n v="0.69500000000000028"/>
    <m/>
    <n v="10.936132999999998"/>
    <x v="0"/>
    <n v="-1.4000000000000012E-2"/>
    <x v="8"/>
    <n v="11"/>
    <n v="33"/>
  </r>
  <r>
    <n v="2"/>
    <d v="2019-05-30T16:00:00"/>
    <s v="EG-white"/>
    <n v="15"/>
    <n v="4"/>
    <n v="0.69500000000000028"/>
    <m/>
    <n v="235.12685949999997"/>
    <x v="1"/>
    <n v="0.45400000000000018"/>
    <x v="23"/>
    <n v="235"/>
    <n v="705"/>
  </r>
  <r>
    <n v="1"/>
    <d v="2019-05-30T16:00:00"/>
    <s v="EG-white"/>
    <n v="15"/>
    <n v="4"/>
    <n v="0.69500000000000028"/>
    <m/>
    <n v="507.43657119999995"/>
    <x v="2"/>
    <n v="0.24500000000000011"/>
    <x v="0"/>
    <n v="507"/>
    <n v="1522"/>
  </r>
  <r>
    <n v="5"/>
    <d v="2019-05-30T16:00:00"/>
    <s v="EG-white"/>
    <n v="14"/>
    <n v="5"/>
    <n v="-0.98000000000000043"/>
    <m/>
    <n v="0.33333333333333331"/>
    <x v="0"/>
    <n v="1.0000000000000009E-2"/>
    <x v="0"/>
    <n v="0"/>
    <n v="1"/>
  </r>
  <r>
    <n v="4"/>
    <d v="2019-05-30T16:00:00"/>
    <s v="EG-white"/>
    <n v="14"/>
    <n v="5"/>
    <n v="-0.98000000000000043"/>
    <m/>
    <n v="2.3333333333333335"/>
    <x v="0"/>
    <n v="-0.59000000000000008"/>
    <x v="8"/>
    <n v="2"/>
    <n v="7"/>
  </r>
  <r>
    <n v="3"/>
    <d v="2019-05-30T16:00:00"/>
    <s v="EG-white"/>
    <n v="14"/>
    <n v="5"/>
    <n v="-0.98000000000000043"/>
    <m/>
    <n v="13.123359599999999"/>
    <x v="3"/>
    <n v="-8.0000000000000071E-2"/>
    <x v="0"/>
    <n v="13"/>
    <n v="39"/>
  </r>
  <r>
    <n v="2"/>
    <d v="2019-05-30T16:00:00"/>
    <s v="EG-white"/>
    <n v="14"/>
    <n v="5"/>
    <n v="-0.98000000000000043"/>
    <m/>
    <n v="147.63779549999998"/>
    <x v="3"/>
    <n v="-0.10999999999999988"/>
    <x v="10"/>
    <n v="148"/>
    <n v="443"/>
  </r>
  <r>
    <n v="1"/>
    <d v="2019-05-30T16:00:00"/>
    <s v="EG-white"/>
    <n v="14"/>
    <n v="5"/>
    <n v="-0.98000000000000043"/>
    <m/>
    <n v="387.13910819999995"/>
    <x v="2"/>
    <n v="-0.21000000000000041"/>
    <x v="0"/>
    <n v="387"/>
    <n v="1161"/>
  </r>
  <r>
    <n v="5"/>
    <d v="2019-05-30T16:00:00"/>
    <s v="EG-white"/>
    <n v="13"/>
    <n v="5"/>
    <n v="-0.91699999999999982"/>
    <m/>
    <n v="0.33333333333333331"/>
    <x v="0"/>
    <n v="1.0000000000000009E-2"/>
    <x v="0"/>
    <n v="0"/>
    <n v="1"/>
  </r>
  <r>
    <n v="4"/>
    <d v="2019-05-30T16:00:00"/>
    <s v="EG-white"/>
    <n v="13"/>
    <n v="5"/>
    <n v="-0.91699999999999982"/>
    <m/>
    <n v="1.3333333333333333"/>
    <x v="0"/>
    <n v="-0.88000000000000012"/>
    <x v="6"/>
    <n v="1"/>
    <n v="4"/>
  </r>
  <r>
    <n v="3"/>
    <d v="2019-05-30T16:00:00"/>
    <s v="EG-white"/>
    <n v="13"/>
    <n v="5"/>
    <n v="-0.91699999999999982"/>
    <m/>
    <n v="19.685039399999997"/>
    <x v="3"/>
    <n v="0.45999999999999996"/>
    <x v="0"/>
    <n v="20"/>
    <n v="59"/>
  </r>
  <r>
    <n v="2"/>
    <d v="2019-05-30T16:00:00"/>
    <s v="EG-white"/>
    <n v="13"/>
    <n v="5"/>
    <n v="-0.91699999999999982"/>
    <m/>
    <n v="166.22922159999999"/>
    <x v="1"/>
    <n v="-0.50999999999999979"/>
    <x v="19"/>
    <n v="166"/>
    <n v="499"/>
  </r>
  <r>
    <n v="1"/>
    <d v="2019-05-30T16:00:00"/>
    <s v="EG-white"/>
    <n v="13"/>
    <n v="5"/>
    <n v="-0.91699999999999982"/>
    <m/>
    <n v="399.16885449999995"/>
    <x v="2"/>
    <n v="3.0000000000001137E-3"/>
    <x v="0"/>
    <n v="399"/>
    <n v="1198"/>
  </r>
  <r>
    <n v="5"/>
    <d v="2019-05-30T16:00:00"/>
    <s v="EG-white"/>
    <n v="12"/>
    <n v="5"/>
    <n v="-0.83000000000000007"/>
    <m/>
    <n v="0.33333333333333331"/>
    <x v="0"/>
    <n v="1.0000000000000009E-2"/>
    <x v="0"/>
    <n v="0"/>
    <n v="1"/>
  </r>
  <r>
    <n v="4"/>
    <d v="2019-05-30T16:00:00"/>
    <s v="EG-white"/>
    <n v="12"/>
    <n v="5"/>
    <n v="-0.83000000000000007"/>
    <m/>
    <n v="7.6552930999999997"/>
    <x v="0"/>
    <n v="-0.1160000000000001"/>
    <x v="6"/>
    <n v="8"/>
    <n v="23"/>
  </r>
  <r>
    <n v="3"/>
    <d v="2019-05-30T16:00:00"/>
    <s v="EG-white"/>
    <n v="12"/>
    <n v="5"/>
    <n v="-0.83000000000000007"/>
    <m/>
    <n v="153.10586199999997"/>
    <x v="1"/>
    <n v="8.6000000000000076E-2"/>
    <x v="3"/>
    <n v="153"/>
    <n v="459"/>
  </r>
  <r>
    <n v="2"/>
    <d v="2019-05-30T16:00:00"/>
    <s v="EG-white"/>
    <n v="12"/>
    <n v="5"/>
    <n v="-0.83000000000000007"/>
    <m/>
    <n v="168.41644819999999"/>
    <x v="4"/>
    <n v="-0.58000000000000007"/>
    <x v="0"/>
    <n v="168"/>
    <n v="505"/>
  </r>
  <r>
    <n v="1"/>
    <d v="2019-05-30T16:00:00"/>
    <s v="EG-white"/>
    <n v="12"/>
    <n v="5"/>
    <n v="-0.83000000000000007"/>
    <m/>
    <n v="426.50918699999994"/>
    <x v="2"/>
    <n v="-0.22999999999999998"/>
    <x v="0"/>
    <n v="427"/>
    <n v="1280"/>
  </r>
  <r>
    <n v="4"/>
    <d v="2019-05-30T16:00:00"/>
    <s v="EG-white"/>
    <n v="11"/>
    <n v="4"/>
    <n v="-0.87999999999999989"/>
    <m/>
    <n v="0.33333333333333331"/>
    <x v="0"/>
    <n v="1.0000000000000009E-2"/>
    <x v="0"/>
    <n v="0"/>
    <n v="1"/>
  </r>
  <r>
    <n v="3"/>
    <d v="2019-05-30T16:00:00"/>
    <s v="EG-white"/>
    <n v="11"/>
    <n v="4"/>
    <n v="-0.87999999999999989"/>
    <m/>
    <n v="2.6666666666666665"/>
    <x v="0"/>
    <n v="-0.59000000000000008"/>
    <x v="8"/>
    <n v="3"/>
    <n v="8"/>
  </r>
  <r>
    <n v="2"/>
    <d v="2019-05-30T16:00:00"/>
    <s v="EG-white"/>
    <n v="11"/>
    <n v="4"/>
    <n v="-0.87999999999999989"/>
    <m/>
    <n v="20.778652699999999"/>
    <x v="4"/>
    <n v="0.10999999999999988"/>
    <x v="0"/>
    <n v="21"/>
    <n v="62"/>
  </r>
  <r>
    <n v="1"/>
    <d v="2019-05-30T16:00:00"/>
    <s v="EG-white"/>
    <n v="11"/>
    <n v="4"/>
    <n v="-0.87999999999999989"/>
    <m/>
    <n v="188.10148759999998"/>
    <x v="2"/>
    <n v="-0.4099999999999997"/>
    <x v="24"/>
    <n v="188"/>
    <n v="564"/>
  </r>
  <r>
    <n v="5"/>
    <d v="2019-05-30T16:00:00"/>
    <s v="EG-white"/>
    <n v="10"/>
    <n v="5"/>
    <n v="-0.52500000000000036"/>
    <m/>
    <n v="0.66666666666666663"/>
    <x v="0"/>
    <n v="1.0000000000000009E-2"/>
    <x v="0"/>
    <n v="1"/>
    <n v="2"/>
  </r>
  <r>
    <n v="4"/>
    <d v="2019-05-30T16:00:00"/>
    <s v="EG-white"/>
    <n v="10"/>
    <n v="5"/>
    <n v="-0.52500000000000036"/>
    <m/>
    <n v="2.1872265999999998"/>
    <x v="0"/>
    <n v="-0.66999999999999993"/>
    <x v="2"/>
    <n v="2"/>
    <n v="7"/>
  </r>
  <r>
    <n v="3"/>
    <d v="2019-05-30T16:00:00"/>
    <s v="EG-white"/>
    <n v="10"/>
    <n v="5"/>
    <n v="-0.52500000000000036"/>
    <m/>
    <n v="21.872265999999996"/>
    <x v="3"/>
    <n v="0.24999999999999978"/>
    <x v="0"/>
    <n v="22"/>
    <n v="66"/>
  </r>
  <r>
    <n v="2"/>
    <d v="2019-05-30T16:00:00"/>
    <s v="EG-white"/>
    <n v="10"/>
    <n v="5"/>
    <n v="-0.52500000000000036"/>
    <m/>
    <n v="202.31846049999999"/>
    <x v="3"/>
    <n v="-6.0000000000000053E-2"/>
    <x v="9"/>
    <n v="202"/>
    <n v="607"/>
  </r>
  <r>
    <n v="1"/>
    <d v="2019-05-30T16:00:00"/>
    <s v="EG-white"/>
    <n v="10"/>
    <n v="5"/>
    <n v="-0.52500000000000036"/>
    <m/>
    <n v="477.90901209999998"/>
    <x v="2"/>
    <n v="-5.500000000000016E-2"/>
    <x v="0"/>
    <n v="478"/>
    <n v="1434"/>
  </r>
  <r>
    <n v="6"/>
    <d v="2019-05-30T16:00:00"/>
    <s v="EG-white"/>
    <n v="9"/>
    <n v="6"/>
    <n v="-1.21"/>
    <m/>
    <n v="0.66666666666666663"/>
    <x v="0"/>
    <n v="1.0000000000000009E-2"/>
    <x v="0"/>
    <n v="1"/>
    <n v="2"/>
  </r>
  <r>
    <n v="5"/>
    <d v="2019-05-30T16:00:00"/>
    <s v="EG-white"/>
    <n v="9"/>
    <n v="6"/>
    <n v="-1.21"/>
    <m/>
    <n v="21.872265999999996"/>
    <x v="1"/>
    <n v="0.3899999999999999"/>
    <x v="0"/>
    <n v="22"/>
    <n v="66"/>
  </r>
  <r>
    <n v="4"/>
    <d v="2019-05-30T16:00:00"/>
    <s v="EG-white"/>
    <n v="9"/>
    <n v="6"/>
    <n v="-1.21"/>
    <m/>
    <n v="43.744531999999992"/>
    <x v="1"/>
    <n v="-0.79999999999999982"/>
    <x v="0"/>
    <n v="44"/>
    <n v="131"/>
  </r>
  <r>
    <n v="3"/>
    <d v="2019-05-30T16:00:00"/>
    <s v="EG-white"/>
    <n v="9"/>
    <n v="6"/>
    <n v="-1.21"/>
    <m/>
    <n v="109.36133"/>
    <x v="1"/>
    <n v="-0.80000000000000027"/>
    <x v="0"/>
    <n v="109"/>
    <n v="328"/>
  </r>
  <r>
    <n v="2"/>
    <d v="2019-05-30T16:00:00"/>
    <s v="EG-white"/>
    <n v="9"/>
    <n v="6"/>
    <n v="-1.21"/>
    <m/>
    <n v="377.29658849999998"/>
    <x v="1"/>
    <n v="0.3100000000000005"/>
    <x v="0"/>
    <n v="377"/>
    <n v="1132"/>
  </r>
  <r>
    <n v="1"/>
    <d v="2019-05-30T16:00:00"/>
    <s v="EG-white"/>
    <n v="9"/>
    <n v="6"/>
    <n v="-1.21"/>
    <m/>
    <n v="530.40245049999999"/>
    <x v="2"/>
    <n v="-0.32000000000000028"/>
    <x v="0"/>
    <n v="530"/>
    <n v="1591"/>
  </r>
  <r>
    <n v="4"/>
    <d v="2019-05-30T16:00:00"/>
    <s v="EG-white"/>
    <n v="8"/>
    <n v="4"/>
    <n v="-0.95000000000000018"/>
    <m/>
    <n v="0.33333333333333331"/>
    <x v="0"/>
    <n v="1.0000000000000009E-2"/>
    <x v="0"/>
    <n v="0"/>
    <n v="1"/>
  </r>
  <r>
    <n v="3"/>
    <d v="2019-05-30T16:00:00"/>
    <s v="EG-white"/>
    <n v="8"/>
    <n v="4"/>
    <n v="-0.95000000000000018"/>
    <m/>
    <n v="1.3333333333333333"/>
    <x v="0"/>
    <n v="-0.88000000000000012"/>
    <x v="5"/>
    <n v="1"/>
    <n v="4"/>
  </r>
  <r>
    <n v="2"/>
    <d v="2019-05-30T16:00:00"/>
    <s v="EG-white"/>
    <n v="8"/>
    <n v="4"/>
    <n v="-0.95000000000000018"/>
    <m/>
    <n v="18.5914261"/>
    <x v="0"/>
    <n v="4.0000000000000036E-2"/>
    <x v="6"/>
    <n v="19"/>
    <n v="56"/>
  </r>
  <r>
    <n v="1"/>
    <d v="2019-05-30T16:00:00"/>
    <s v="EG-white"/>
    <n v="8"/>
    <n v="4"/>
    <n v="-0.95000000000000018"/>
    <m/>
    <n v="168.41644819999999"/>
    <x v="2"/>
    <n v="-0.12000000000000011"/>
    <x v="25"/>
    <n v="168"/>
    <n v="505"/>
  </r>
  <r>
    <n v="4"/>
    <d v="2019-05-30T16:00:00"/>
    <s v="EG-white"/>
    <n v="7"/>
    <n v="4"/>
    <n v="0.41000000000000014"/>
    <m/>
    <n v="0.33333333333333331"/>
    <x v="0"/>
    <n v="1.0000000000000009E-2"/>
    <x v="0"/>
    <n v="0"/>
    <n v="1"/>
  </r>
  <r>
    <n v="3"/>
    <d v="2019-05-30T16:00:00"/>
    <s v="EG-white"/>
    <n v="7"/>
    <n v="4"/>
    <n v="0.41000000000000014"/>
    <m/>
    <n v="6.5616797999999994"/>
    <x v="0"/>
    <n v="-0.15799999999999992"/>
    <x v="6"/>
    <n v="7"/>
    <n v="20"/>
  </r>
  <r>
    <n v="2"/>
    <d v="2019-05-30T16:00:00"/>
    <s v="EG-white"/>
    <n v="7"/>
    <n v="4"/>
    <n v="0.41000000000000014"/>
    <m/>
    <n v="190.28871419999999"/>
    <x v="1"/>
    <n v="0.33799999999999986"/>
    <x v="4"/>
    <n v="190"/>
    <n v="571"/>
  </r>
  <r>
    <n v="1"/>
    <d v="2019-05-30T16:00:00"/>
    <s v="EG-white"/>
    <n v="7"/>
    <n v="4"/>
    <n v="0.41000000000000014"/>
    <m/>
    <n v="460.41119929999996"/>
    <x v="2"/>
    <n v="0.2200000000000002"/>
    <x v="0"/>
    <n v="460"/>
    <n v="1381"/>
  </r>
  <r>
    <n v="5"/>
    <d v="2019-05-30T16:00:00"/>
    <s v="EG-white"/>
    <n v="6"/>
    <n v="5"/>
    <n v="-0.99500000000000011"/>
    <m/>
    <n v="0.33333333333333331"/>
    <x v="0"/>
    <n v="1.0000000000000009E-2"/>
    <x v="0"/>
    <n v="0"/>
    <n v="1"/>
  </r>
  <r>
    <n v="4"/>
    <d v="2019-05-30T16:00:00"/>
    <s v="EG-white"/>
    <n v="6"/>
    <n v="5"/>
    <n v="-0.99500000000000011"/>
    <m/>
    <n v="4.3744531999999996"/>
    <x v="0"/>
    <n v="-0.29800000000000004"/>
    <x v="8"/>
    <n v="4"/>
    <n v="13"/>
  </r>
  <r>
    <n v="3"/>
    <d v="2019-05-30T16:00:00"/>
    <s v="EG-white"/>
    <n v="6"/>
    <n v="5"/>
    <n v="-0.99500000000000011"/>
    <m/>
    <n v="20.778652699999999"/>
    <x v="0"/>
    <n v="-0.48799999999999977"/>
    <x v="8"/>
    <n v="21"/>
    <n v="62"/>
  </r>
  <r>
    <n v="2"/>
    <d v="2019-05-30T16:00:00"/>
    <s v="EG-white"/>
    <n v="6"/>
    <n v="5"/>
    <n v="-0.99500000000000011"/>
    <m/>
    <n v="157.48031519999998"/>
    <x v="1"/>
    <n v="-0.24400000000000022"/>
    <x v="24"/>
    <n v="157"/>
    <n v="472"/>
  </r>
  <r>
    <n v="1"/>
    <d v="2019-05-30T16:00:00"/>
    <s v="EG-white"/>
    <n v="6"/>
    <n v="5"/>
    <n v="-0.99500000000000011"/>
    <m/>
    <n v="377.29658849999998"/>
    <x v="2"/>
    <n v="2.4999999999999911E-2"/>
    <x v="0"/>
    <n v="377"/>
    <n v="1132"/>
  </r>
  <r>
    <n v="4"/>
    <d v="2019-05-30T16:00:00"/>
    <s v="EG-white"/>
    <n v="5"/>
    <n v="4"/>
    <n v="-8.0000000000000071E-2"/>
    <m/>
    <n v="2.6666666666666665"/>
    <x v="0"/>
    <n v="0.41999999999999993"/>
    <x v="0"/>
    <n v="3"/>
    <n v="8"/>
  </r>
  <r>
    <n v="3"/>
    <d v="2019-05-30T16:00:00"/>
    <s v="EG-white"/>
    <n v="5"/>
    <n v="4"/>
    <n v="-8.0000000000000071E-2"/>
    <m/>
    <n v="13.123359599999999"/>
    <x v="1"/>
    <n v="-0.23999999999999977"/>
    <x v="0"/>
    <n v="13"/>
    <n v="39"/>
  </r>
  <r>
    <n v="2"/>
    <d v="2019-05-30T16:00:00"/>
    <s v="EG-white"/>
    <n v="5"/>
    <n v="4"/>
    <n v="-8.0000000000000071E-2"/>
    <m/>
    <n v="119.20384969999999"/>
    <x v="1"/>
    <n v="-0.33000000000000007"/>
    <x v="10"/>
    <n v="119"/>
    <n v="358"/>
  </r>
  <r>
    <n v="1"/>
    <d v="2019-05-30T16:00:00"/>
    <s v="EG-white"/>
    <n v="5"/>
    <n v="4"/>
    <n v="-8.0000000000000071E-2"/>
    <m/>
    <n v="334.64566979999995"/>
    <x v="2"/>
    <n v="6.999999999999984E-2"/>
    <x v="0"/>
    <n v="335"/>
    <n v="1004"/>
  </r>
  <r>
    <n v="5"/>
    <d v="2019-05-30T16:00:00"/>
    <s v="EG-white"/>
    <n v="4"/>
    <n v="5"/>
    <n v="-0.17999999999999972"/>
    <m/>
    <n v="8.7489063999999992"/>
    <x v="1"/>
    <n v="1.0299999999999998"/>
    <x v="0"/>
    <n v="9"/>
    <n v="26"/>
  </r>
  <r>
    <n v="4"/>
    <d v="2019-05-30T16:00:00"/>
    <s v="EG-white"/>
    <n v="4"/>
    <n v="5"/>
    <n v="-0.17999999999999972"/>
    <m/>
    <n v="19.685039399999997"/>
    <x v="3"/>
    <n v="-0.43999999999999995"/>
    <x v="0"/>
    <n v="20"/>
    <n v="59"/>
  </r>
  <r>
    <n v="3"/>
    <d v="2019-05-30T16:00:00"/>
    <s v="EG-white"/>
    <n v="4"/>
    <n v="5"/>
    <n v="-0.17999999999999972"/>
    <m/>
    <n v="43.744531999999992"/>
    <x v="3"/>
    <n v="-0.81"/>
    <x v="0"/>
    <n v="44"/>
    <n v="131"/>
  </r>
  <r>
    <n v="2"/>
    <d v="2019-05-30T16:00:00"/>
    <s v="EG-white"/>
    <n v="4"/>
    <n v="5"/>
    <n v="-0.17999999999999972"/>
    <m/>
    <n v="275.59055159999997"/>
    <x v="1"/>
    <n v="0"/>
    <x v="0"/>
    <n v="276"/>
    <n v="827"/>
  </r>
  <r>
    <n v="1"/>
    <d v="2019-05-30T16:00:00"/>
    <s v="EG-white"/>
    <n v="4"/>
    <n v="5"/>
    <n v="-0.17999999999999972"/>
    <m/>
    <n v="577.42782239999997"/>
    <x v="2"/>
    <n v="4.000000000000048E-2"/>
    <x v="0"/>
    <n v="577"/>
    <n v="1732"/>
  </r>
  <r>
    <n v="4"/>
    <d v="2019-05-30T16:00:00"/>
    <s v="EG-white"/>
    <n v="3"/>
    <n v="4"/>
    <n v="-0.79"/>
    <m/>
    <n v="0.33333333333333331"/>
    <x v="0"/>
    <n v="1.0000000000000009E-2"/>
    <x v="0"/>
    <n v="0"/>
    <n v="1"/>
  </r>
  <r>
    <n v="3"/>
    <d v="2019-05-30T16:00:00"/>
    <s v="EG-white"/>
    <n v="3"/>
    <n v="4"/>
    <n v="-0.79"/>
    <m/>
    <n v="9.8425196999999987"/>
    <x v="0"/>
    <n v="-4.0000000000000036E-2"/>
    <x v="8"/>
    <n v="10"/>
    <n v="30"/>
  </r>
  <r>
    <n v="2"/>
    <d v="2019-05-30T16:00:00"/>
    <s v="EG-white"/>
    <n v="3"/>
    <n v="4"/>
    <n v="-0.79"/>
    <m/>
    <n v="18.5914261"/>
    <x v="1"/>
    <n v="-0.57000000000000006"/>
    <x v="0"/>
    <n v="19"/>
    <n v="56"/>
  </r>
  <r>
    <n v="1"/>
    <d v="2019-05-30T16:00:00"/>
    <s v="EG-white"/>
    <n v="3"/>
    <n v="4"/>
    <n v="-0.79"/>
    <m/>
    <n v="220.90988659999999"/>
    <x v="2"/>
    <n v="-0.18999999999999995"/>
    <x v="25"/>
    <n v="221"/>
    <n v="663"/>
  </r>
  <r>
    <n v="4"/>
    <d v="2019-05-30T16:00:00"/>
    <s v="EG-white"/>
    <n v="2"/>
    <n v="4"/>
    <n v="-0.18900000000000006"/>
    <m/>
    <n v="0.33333333333333331"/>
    <x v="0"/>
    <n v="1.0000000000000009E-2"/>
    <x v="0"/>
    <n v="0"/>
    <n v="1"/>
  </r>
  <r>
    <n v="3"/>
    <d v="2019-05-30T16:00:00"/>
    <s v="EG-white"/>
    <n v="2"/>
    <n v="4"/>
    <n v="-0.18900000000000006"/>
    <m/>
    <n v="2.1872265999999998"/>
    <x v="0"/>
    <n v="-0.66999999999999993"/>
    <x v="8"/>
    <n v="2"/>
    <n v="7"/>
  </r>
  <r>
    <n v="2"/>
    <d v="2019-05-30T16:00:00"/>
    <s v="EG-white"/>
    <n v="2"/>
    <n v="4"/>
    <n v="-0.18900000000000006"/>
    <m/>
    <n v="9.8425196999999987"/>
    <x v="0"/>
    <n v="-0.37000000000000011"/>
    <x v="6"/>
    <n v="10"/>
    <n v="30"/>
  </r>
  <r>
    <n v="1"/>
    <d v="2019-05-30T16:00:00"/>
    <s v="EG-white"/>
    <n v="2"/>
    <n v="4"/>
    <n v="-0.18900000000000006"/>
    <m/>
    <n v="300.74365749999998"/>
    <x v="2"/>
    <n v="0.84099999999999997"/>
    <x v="0"/>
    <n v="301"/>
    <n v="902"/>
  </r>
  <r>
    <n v="4"/>
    <d v="2019-05-30T16:00:00"/>
    <s v="EG-white"/>
    <n v="1"/>
    <n v="4"/>
    <n v="8.0000000000000071E-2"/>
    <m/>
    <n v="1"/>
    <x v="0"/>
    <n v="4.0000000000000036E-2"/>
    <x v="0"/>
    <n v="1"/>
    <n v="3"/>
  </r>
  <r>
    <n v="3"/>
    <d v="2019-05-30T16:00:00"/>
    <s v="EG-white"/>
    <n v="1"/>
    <n v="4"/>
    <n v="8.0000000000000071E-2"/>
    <m/>
    <n v="3.6666666666666665"/>
    <x v="0"/>
    <n v="-0.42999999999999994"/>
    <x v="5"/>
    <n v="4"/>
    <n v="11"/>
  </r>
  <r>
    <n v="2"/>
    <d v="2019-05-30T16:00:00"/>
    <s v="EG-white"/>
    <n v="1"/>
    <n v="4"/>
    <n v="8.0000000000000071E-2"/>
    <m/>
    <n v="168.41644819999999"/>
    <x v="1"/>
    <n v="0.47"/>
    <x v="13"/>
    <n v="168"/>
    <n v="505"/>
  </r>
  <r>
    <n v="1"/>
    <d v="2019-05-30T16:00:00"/>
    <s v="EG-white"/>
    <n v="1"/>
    <n v="4"/>
    <n v="8.0000000000000071E-2"/>
    <m/>
    <n v="419.94750719999996"/>
    <x v="2"/>
    <n v="0"/>
    <x v="0"/>
    <n v="420"/>
    <n v="1260"/>
  </r>
  <r>
    <n v="5"/>
    <d v="2019-05-25T12:00:00"/>
    <s v="Woold Wit"/>
    <n v="18"/>
    <n v="5"/>
    <n v="-0.17999999999999972"/>
    <m/>
    <n v="0.66666666666666663"/>
    <x v="0"/>
    <n v="1.0000000000000009E-2"/>
    <x v="0"/>
    <n v="1"/>
    <n v="2"/>
  </r>
  <r>
    <n v="4"/>
    <d v="2019-05-25T12:00:00"/>
    <s v="Woold Wit"/>
    <n v="18"/>
    <n v="5"/>
    <n v="-0.17999999999999972"/>
    <m/>
    <n v="8.7489063999999992"/>
    <x v="0"/>
    <n v="-7.0000000000000062E-2"/>
    <x v="2"/>
    <n v="9"/>
    <n v="26"/>
  </r>
  <r>
    <n v="3"/>
    <d v="2019-05-25T12:00:00"/>
    <s v="Woold Wit"/>
    <n v="18"/>
    <n v="5"/>
    <n v="-0.17999999999999972"/>
    <m/>
    <n v="40.463692099999996"/>
    <x v="3"/>
    <n v="-0.16000000000000014"/>
    <x v="14"/>
    <n v="40"/>
    <n v="121"/>
  </r>
  <r>
    <n v="2"/>
    <d v="2019-05-25T12:00:00"/>
    <s v="Woold Wit"/>
    <n v="18"/>
    <n v="5"/>
    <n v="-0.17999999999999972"/>
    <m/>
    <n v="258.09273879999995"/>
    <x v="1"/>
    <n v="-8.9999999999999858E-2"/>
    <x v="26"/>
    <n v="258"/>
    <n v="774"/>
  </r>
  <r>
    <n v="1"/>
    <d v="2019-05-25T12:00:00"/>
    <s v="Woold Wit"/>
    <n v="18"/>
    <n v="5"/>
    <n v="-0.17999999999999972"/>
    <m/>
    <n v="566.49168939999993"/>
    <x v="2"/>
    <n v="0.13000000000000034"/>
    <x v="0"/>
    <n v="566"/>
    <n v="1699"/>
  </r>
  <r>
    <n v="3"/>
    <d v="2019-05-25T12:00:00"/>
    <s v="Woold Wit"/>
    <n v="17"/>
    <n v="3"/>
    <n v="8.4999999999999964E-2"/>
    <m/>
    <n v="1.3333333333333333"/>
    <x v="0"/>
    <n v="0.12999999999999989"/>
    <x v="0"/>
    <n v="1"/>
    <n v="4"/>
  </r>
  <r>
    <n v="2"/>
    <d v="2019-05-25T12:00:00"/>
    <s v="Woold Wit"/>
    <n v="17"/>
    <n v="3"/>
    <n v="8.4999999999999964E-2"/>
    <m/>
    <n v="27.340332499999999"/>
    <x v="3"/>
    <n v="0.45999999999999996"/>
    <x v="0"/>
    <n v="27"/>
    <n v="82"/>
  </r>
  <r>
    <n v="1"/>
    <d v="2019-05-25T12:00:00"/>
    <s v="Woold Wit"/>
    <n v="17"/>
    <n v="3"/>
    <n v="8.4999999999999964E-2"/>
    <m/>
    <n v="174.97812799999997"/>
    <x v="2"/>
    <n v="-0.50499999999999989"/>
    <x v="27"/>
    <n v="175"/>
    <n v="525"/>
  </r>
  <r>
    <n v="3"/>
    <d v="2019-05-25T12:00:00"/>
    <s v="Woold Wit"/>
    <n v="16"/>
    <n v="3"/>
    <n v="0.89000000000000012"/>
    <m/>
    <n v="5.4680664999999991"/>
    <x v="0"/>
    <n v="0.79800000000000004"/>
    <x v="0"/>
    <n v="5"/>
    <n v="16"/>
  </r>
  <r>
    <n v="2"/>
    <d v="2019-05-25T12:00:00"/>
    <s v="Woold Wit"/>
    <n v="16"/>
    <n v="3"/>
    <n v="0.89000000000000012"/>
    <m/>
    <n v="34.995625599999997"/>
    <x v="3"/>
    <n v="-0.20800000000000018"/>
    <x v="0"/>
    <n v="35"/>
    <n v="105"/>
  </r>
  <r>
    <n v="1"/>
    <d v="2019-05-25T12:00:00"/>
    <s v="Woold Wit"/>
    <n v="16"/>
    <n v="3"/>
    <n v="0.89000000000000012"/>
    <m/>
    <n v="322.61592349999995"/>
    <x v="2"/>
    <n v="0.30000000000000027"/>
    <x v="0"/>
    <n v="323"/>
    <n v="968"/>
  </r>
  <r>
    <n v="4"/>
    <d v="2019-05-25T12:00:00"/>
    <s v="Woold Wit"/>
    <n v="15"/>
    <n v="4"/>
    <n v="-6.0000000000000053E-2"/>
    <m/>
    <n v="1"/>
    <x v="0"/>
    <n v="4.0000000000000036E-2"/>
    <x v="0"/>
    <n v="1"/>
    <n v="3"/>
  </r>
  <r>
    <n v="3"/>
    <d v="2019-05-25T12:00:00"/>
    <s v="Woold Wit"/>
    <n v="15"/>
    <n v="4"/>
    <n v="-6.0000000000000053E-2"/>
    <m/>
    <n v="15.310586199999999"/>
    <x v="3"/>
    <n v="0.43000000000000016"/>
    <x v="0"/>
    <n v="15"/>
    <n v="46"/>
  </r>
  <r>
    <n v="2"/>
    <d v="2019-05-25T12:00:00"/>
    <s v="Woold Wit"/>
    <n v="15"/>
    <n v="4"/>
    <n v="-6.0000000000000053E-2"/>
    <m/>
    <n v="118.11023639999999"/>
    <x v="1"/>
    <n v="-0.62000000000000011"/>
    <x v="7"/>
    <n v="118"/>
    <n v="354"/>
  </r>
  <r>
    <n v="1"/>
    <d v="2019-05-25T12:00:00"/>
    <s v="Woold Wit"/>
    <n v="15"/>
    <n v="4"/>
    <n v="-6.0000000000000053E-2"/>
    <m/>
    <n v="344.48818949999998"/>
    <x v="2"/>
    <n v="8.9999999999999858E-2"/>
    <x v="0"/>
    <n v="344"/>
    <n v="1033"/>
  </r>
  <r>
    <n v="3"/>
    <d v="2019-05-25T12:00:00"/>
    <s v="Woold Wit"/>
    <n v="14"/>
    <n v="3"/>
    <n v="4.9999999999999822E-2"/>
    <m/>
    <n v="1.6666666666666667"/>
    <x v="0"/>
    <n v="0.12999999999999989"/>
    <x v="0"/>
    <n v="2"/>
    <n v="5"/>
  </r>
  <r>
    <n v="2"/>
    <d v="2019-05-25T12:00:00"/>
    <s v="Woold Wit"/>
    <n v="14"/>
    <n v="3"/>
    <n v="4.9999999999999822E-2"/>
    <m/>
    <n v="21.872265999999996"/>
    <x v="1"/>
    <n v="0.27"/>
    <x v="0"/>
    <n v="22"/>
    <n v="66"/>
  </r>
  <r>
    <n v="1"/>
    <d v="2019-05-25T12:00:00"/>
    <s v="Woold Wit"/>
    <n v="14"/>
    <n v="3"/>
    <n v="4.9999999999999822E-2"/>
    <m/>
    <n v="170.60367479999999"/>
    <x v="2"/>
    <n v="-0.35000000000000009"/>
    <x v="9"/>
    <n v="171"/>
    <n v="512"/>
  </r>
  <r>
    <n v="5"/>
    <d v="2019-05-25T12:00:00"/>
    <s v="Woold Wit"/>
    <n v="13"/>
    <n v="5"/>
    <n v="-0.91999999999999993"/>
    <m/>
    <n v="0.33333333333333331"/>
    <x v="0"/>
    <n v="1.0000000000000009E-2"/>
    <x v="0"/>
    <n v="0"/>
    <n v="1"/>
  </r>
  <r>
    <n v="4"/>
    <d v="2019-05-25T12:00:00"/>
    <s v="Woold Wit"/>
    <n v="13"/>
    <n v="5"/>
    <n v="-0.91999999999999993"/>
    <m/>
    <n v="2.6666666666666665"/>
    <x v="0"/>
    <n v="-0.59000000000000008"/>
    <x v="6"/>
    <n v="3"/>
    <n v="8"/>
  </r>
  <r>
    <n v="3"/>
    <d v="2019-05-25T12:00:00"/>
    <s v="Woold Wit"/>
    <n v="13"/>
    <n v="5"/>
    <n v="-0.91999999999999993"/>
    <m/>
    <n v="13.123359599999999"/>
    <x v="3"/>
    <n v="-8.0000000000000071E-2"/>
    <x v="0"/>
    <n v="13"/>
    <n v="39"/>
  </r>
  <r>
    <n v="2"/>
    <d v="2019-05-25T12:00:00"/>
    <s v="Woold Wit"/>
    <n v="13"/>
    <n v="5"/>
    <n v="-0.91999999999999993"/>
    <m/>
    <n v="181.53980779999998"/>
    <x v="1"/>
    <n v="-0.25999999999999979"/>
    <x v="10"/>
    <n v="182"/>
    <n v="545"/>
  </r>
  <r>
    <n v="1"/>
    <d v="2019-05-25T12:00:00"/>
    <s v="Woold Wit"/>
    <n v="13"/>
    <n v="5"/>
    <n v="-0.91999999999999993"/>
    <m/>
    <n v="402.44969439999994"/>
    <x v="2"/>
    <n v="0"/>
    <x v="0"/>
    <n v="402"/>
    <n v="1207"/>
  </r>
  <r>
    <n v="7"/>
    <d v="2019-05-25T12:00:00"/>
    <s v="Woold Wit"/>
    <n v="12"/>
    <n v="7"/>
    <n v="-2.1799999999999997"/>
    <m/>
    <n v="1.3333333333333333"/>
    <x v="0"/>
    <n v="0.12999999999999989"/>
    <x v="0"/>
    <n v="1"/>
    <n v="4"/>
  </r>
  <r>
    <n v="6"/>
    <d v="2019-05-25T12:00:00"/>
    <s v="Woold Wit"/>
    <n v="12"/>
    <n v="7"/>
    <n v="-2.1799999999999997"/>
    <m/>
    <n v="6.5616797999999994"/>
    <x v="0"/>
    <n v="-0.2779999999999998"/>
    <x v="2"/>
    <n v="7"/>
    <n v="20"/>
  </r>
  <r>
    <n v="5"/>
    <d v="2019-05-25T12:00:00"/>
    <s v="Woold Wit"/>
    <n v="12"/>
    <n v="7"/>
    <n v="-2.1799999999999997"/>
    <m/>
    <n v="76.552930999999987"/>
    <x v="1"/>
    <n v="-0.10200000000000009"/>
    <x v="4"/>
    <n v="77"/>
    <n v="230"/>
  </r>
  <r>
    <n v="4"/>
    <d v="2019-05-25T12:00:00"/>
    <s v="Woold Wit"/>
    <n v="12"/>
    <n v="7"/>
    <n v="-2.1799999999999997"/>
    <m/>
    <n v="328.08398999999997"/>
    <x v="3"/>
    <n v="0.26999999999999957"/>
    <x v="0"/>
    <n v="328"/>
    <n v="984"/>
  </r>
  <r>
    <n v="3"/>
    <d v="2019-05-25T12:00:00"/>
    <s v="Woold Wit"/>
    <n v="12"/>
    <n v="7"/>
    <n v="-2.1799999999999997"/>
    <m/>
    <n v="328.08398999999997"/>
    <x v="5"/>
    <n v="-0.57999999999999918"/>
    <x v="0"/>
    <n v="328"/>
    <n v="984"/>
  </r>
  <r>
    <n v="2"/>
    <d v="2019-05-25T12:00:00"/>
    <s v="Woold Wit"/>
    <n v="12"/>
    <n v="7"/>
    <n v="-2.1799999999999997"/>
    <m/>
    <n v="328.08398999999997"/>
    <x v="5"/>
    <n v="-1"/>
    <x v="0"/>
    <n v="328"/>
    <n v="984"/>
  </r>
  <r>
    <n v="1"/>
    <d v="2019-05-25T12:00:00"/>
    <s v="Woold Wit"/>
    <n v="12"/>
    <n v="7"/>
    <n v="-2.1799999999999997"/>
    <m/>
    <n v="575.24059579999994"/>
    <x v="2"/>
    <n v="-0.62000000000000011"/>
    <x v="0"/>
    <n v="575"/>
    <n v="1726"/>
  </r>
  <r>
    <n v="4"/>
    <d v="2019-05-25T12:00:00"/>
    <s v="Woold Wit"/>
    <n v="11"/>
    <n v="4"/>
    <n v="-6.0000000000000053E-2"/>
    <m/>
    <n v="0.33333333333333331"/>
    <x v="0"/>
    <n v="1.0000000000000009E-2"/>
    <x v="0"/>
    <n v="0"/>
    <n v="1"/>
  </r>
  <r>
    <n v="3"/>
    <d v="2019-05-25T12:00:00"/>
    <s v="Woold Wit"/>
    <n v="11"/>
    <n v="4"/>
    <n v="-6.0000000000000053E-2"/>
    <m/>
    <n v="4.3744531999999996"/>
    <x v="0"/>
    <n v="-0.29800000000000004"/>
    <x v="5"/>
    <n v="4"/>
    <n v="13"/>
  </r>
  <r>
    <n v="2"/>
    <d v="2019-05-25T12:00:00"/>
    <s v="Woold Wit"/>
    <n v="11"/>
    <n v="4"/>
    <n v="-6.0000000000000053E-2"/>
    <m/>
    <n v="113.73578319999999"/>
    <x v="1"/>
    <n v="0.13800000000000012"/>
    <x v="17"/>
    <n v="114"/>
    <n v="341"/>
  </r>
  <r>
    <n v="1"/>
    <d v="2019-05-25T12:00:00"/>
    <s v="Woold Wit"/>
    <n v="11"/>
    <n v="4"/>
    <n v="-6.0000000000000053E-2"/>
    <m/>
    <n v="352.14348259999997"/>
    <x v="2"/>
    <n v="8.9999999999999858E-2"/>
    <x v="0"/>
    <n v="352"/>
    <n v="1056"/>
  </r>
  <r>
    <n v="4"/>
    <d v="2019-05-25T12:00:00"/>
    <s v="Woold Wit"/>
    <n v="10"/>
    <n v="4"/>
    <n v="0.22499999999999964"/>
    <m/>
    <n v="2.3333333333333335"/>
    <x v="0"/>
    <n v="0.41999999999999993"/>
    <x v="0"/>
    <n v="2"/>
    <n v="7"/>
  </r>
  <r>
    <n v="3"/>
    <d v="2019-05-25T12:00:00"/>
    <s v="Woold Wit"/>
    <n v="10"/>
    <n v="4"/>
    <n v="0.22499999999999964"/>
    <m/>
    <n v="17.497812799999998"/>
    <x v="0"/>
    <n v="-0.26799999999999979"/>
    <x v="5"/>
    <n v="17"/>
    <n v="52"/>
  </r>
  <r>
    <n v="2"/>
    <d v="2019-05-25T12:00:00"/>
    <s v="Woold Wit"/>
    <n v="10"/>
    <n v="4"/>
    <n v="0.22499999999999964"/>
    <m/>
    <n v="174.97812799999997"/>
    <x v="1"/>
    <n v="-7.2000000000000064E-2"/>
    <x v="28"/>
    <n v="175"/>
    <n v="525"/>
  </r>
  <r>
    <n v="1"/>
    <d v="2019-05-25T12:00:00"/>
    <s v="Woold Wit"/>
    <n v="10"/>
    <n v="4"/>
    <n v="0.22499999999999964"/>
    <m/>
    <n v="438.53893329999994"/>
    <x v="2"/>
    <n v="0.14499999999999957"/>
    <x v="0"/>
    <n v="439"/>
    <n v="1316"/>
  </r>
  <r>
    <n v="6"/>
    <d v="2019-05-25T12:00:00"/>
    <s v="Woold Wit"/>
    <n v="9"/>
    <n v="6"/>
    <n v="-1.21"/>
    <m/>
    <n v="0.33333333333333331"/>
    <x v="0"/>
    <n v="1.0000000000000009E-2"/>
    <x v="0"/>
    <n v="0"/>
    <n v="1"/>
  </r>
  <r>
    <n v="5"/>
    <d v="2019-05-25T12:00:00"/>
    <s v="Woold Wit"/>
    <n v="9"/>
    <n v="6"/>
    <n v="-1.21"/>
    <m/>
    <n v="6.5616797999999994"/>
    <x v="0"/>
    <n v="-0.15799999999999992"/>
    <x v="5"/>
    <n v="7"/>
    <n v="20"/>
  </r>
  <r>
    <n v="4"/>
    <d v="2019-05-25T12:00:00"/>
    <s v="Woold Wit"/>
    <n v="9"/>
    <n v="6"/>
    <n v="-1.21"/>
    <m/>
    <n v="54.680664999999998"/>
    <x v="3"/>
    <n v="-7.2000000000000286E-2"/>
    <x v="4"/>
    <n v="55"/>
    <n v="164"/>
  </r>
  <r>
    <n v="2"/>
    <d v="2019-05-25T12:00:00"/>
    <s v="Woold Wit"/>
    <n v="9"/>
    <n v="6"/>
    <n v="-1.21"/>
    <m/>
    <n v="284.33945799999998"/>
    <x v="5"/>
    <n v="-0.63999999999999968"/>
    <x v="0"/>
    <n v="284"/>
    <n v="853"/>
  </r>
  <r>
    <n v="3"/>
    <d v="2019-05-25T12:00:00"/>
    <s v="Woold Wit"/>
    <n v="9"/>
    <n v="6"/>
    <n v="-1.21"/>
    <m/>
    <n v="295.27559099999996"/>
    <x v="1"/>
    <n v="6.0000000000000053E-2"/>
    <x v="0"/>
    <n v="295"/>
    <n v="886"/>
  </r>
  <r>
    <n v="1"/>
    <d v="2019-05-25T12:00:00"/>
    <s v="Woold Wit"/>
    <n v="9"/>
    <n v="6"/>
    <n v="-1.21"/>
    <m/>
    <n v="542.43219679999993"/>
    <x v="2"/>
    <n v="-0.41000000000000014"/>
    <x v="0"/>
    <n v="542"/>
    <n v="1627"/>
  </r>
  <r>
    <n v="3"/>
    <d v="2019-05-25T12:00:00"/>
    <s v="Woold Wit"/>
    <n v="8"/>
    <n v="3"/>
    <n v="-9.9999999999997868E-3"/>
    <m/>
    <n v="0.33333333333333331"/>
    <x v="0"/>
    <n v="1.0000000000000009E-2"/>
    <x v="0"/>
    <n v="0"/>
    <n v="1"/>
  </r>
  <r>
    <n v="2"/>
    <d v="2019-05-25T12:00:00"/>
    <s v="Woold Wit"/>
    <n v="8"/>
    <n v="3"/>
    <n v="-9.9999999999997868E-3"/>
    <m/>
    <n v="6.5616797999999994"/>
    <x v="0"/>
    <n v="-0.15799999999999992"/>
    <x v="2"/>
    <n v="7"/>
    <n v="20"/>
  </r>
  <r>
    <n v="1"/>
    <d v="2019-05-25T12:00:00"/>
    <s v="Woold Wit"/>
    <n v="8"/>
    <n v="3"/>
    <n v="-9.9999999999997868E-3"/>
    <m/>
    <n v="153.10586199999997"/>
    <x v="2"/>
    <n v="0.13800000000000012"/>
    <x v="0"/>
    <n v="153"/>
    <n v="459"/>
  </r>
  <r>
    <n v="4"/>
    <d v="2019-05-25T12:00:00"/>
    <s v="Woold Wit"/>
    <n v="7"/>
    <n v="4"/>
    <n v="8.0000000000000071E-2"/>
    <m/>
    <n v="1"/>
    <x v="0"/>
    <n v="4.0000000000000036E-2"/>
    <x v="0"/>
    <n v="1"/>
    <n v="3"/>
  </r>
  <r>
    <n v="3"/>
    <d v="2019-05-25T12:00:00"/>
    <s v="Woold Wit"/>
    <n v="7"/>
    <n v="4"/>
    <n v="8.0000000000000071E-2"/>
    <m/>
    <n v="10.936132999999998"/>
    <x v="0"/>
    <n v="-4.4000000000000039E-2"/>
    <x v="5"/>
    <n v="11"/>
    <n v="33"/>
  </r>
  <r>
    <n v="2"/>
    <d v="2019-05-25T12:00:00"/>
    <s v="Woold Wit"/>
    <n v="7"/>
    <n v="4"/>
    <n v="8.0000000000000071E-2"/>
    <m/>
    <n v="124.67191619999998"/>
    <x v="1"/>
    <n v="-0.14599999999999991"/>
    <x v="23"/>
    <n v="125"/>
    <n v="374"/>
  </r>
  <r>
    <n v="1"/>
    <d v="2019-05-25T12:00:00"/>
    <s v="Woold Wit"/>
    <n v="7"/>
    <n v="4"/>
    <n v="8.0000000000000071E-2"/>
    <m/>
    <n v="410.10498749999994"/>
    <x v="2"/>
    <n v="0.22999999999999998"/>
    <x v="0"/>
    <n v="410"/>
    <n v="1230"/>
  </r>
  <r>
    <n v="5"/>
    <d v="2019-05-25T12:00:00"/>
    <s v="Woold Wit"/>
    <n v="6"/>
    <n v="5"/>
    <n v="-0.99500000000000011"/>
    <m/>
    <n v="0.66666666666666663"/>
    <x v="0"/>
    <n v="1.0000000000000009E-2"/>
    <x v="0"/>
    <n v="1"/>
    <n v="2"/>
  </r>
  <r>
    <n v="4"/>
    <d v="2019-05-25T12:00:00"/>
    <s v="Woold Wit"/>
    <n v="6"/>
    <n v="5"/>
    <n v="-0.99500000000000011"/>
    <m/>
    <n v="2"/>
    <x v="0"/>
    <n v="-0.66999999999999993"/>
    <x v="6"/>
    <n v="2"/>
    <n v="6"/>
  </r>
  <r>
    <n v="3"/>
    <d v="2019-05-25T12:00:00"/>
    <s v="Woold Wit"/>
    <n v="6"/>
    <n v="5"/>
    <n v="-0.99500000000000011"/>
    <m/>
    <n v="12.029746299999999"/>
    <x v="0"/>
    <n v="-0.31200000000000006"/>
    <x v="5"/>
    <n v="12"/>
    <n v="36"/>
  </r>
  <r>
    <n v="2"/>
    <d v="2019-05-25T12:00:00"/>
    <s v="Woold Wit"/>
    <n v="6"/>
    <n v="5"/>
    <n v="-0.99500000000000011"/>
    <m/>
    <n v="131.23359599999998"/>
    <x v="1"/>
    <n v="-0.11799999999999988"/>
    <x v="11"/>
    <n v="131"/>
    <n v="394"/>
  </r>
  <r>
    <n v="1"/>
    <d v="2019-05-25T12:00:00"/>
    <s v="Woold Wit"/>
    <n v="6"/>
    <n v="5"/>
    <n v="-0.99500000000000011"/>
    <m/>
    <n v="382.76465499999995"/>
    <x v="2"/>
    <n v="9.4999999999999751E-2"/>
    <x v="0"/>
    <n v="383"/>
    <n v="1148"/>
  </r>
  <r>
    <n v="4"/>
    <d v="2019-05-25T12:00:00"/>
    <s v="Woold Wit"/>
    <n v="5"/>
    <n v="4"/>
    <n v="-0.87999999999999989"/>
    <m/>
    <n v="0.66666666666666663"/>
    <x v="0"/>
    <n v="1.0000000000000009E-2"/>
    <x v="0"/>
    <n v="1"/>
    <n v="2"/>
  </r>
  <r>
    <n v="3"/>
    <d v="2019-05-25T12:00:00"/>
    <s v="Woold Wit"/>
    <n v="5"/>
    <n v="4"/>
    <n v="-0.87999999999999989"/>
    <m/>
    <n v="15.310586199999999"/>
    <x v="3"/>
    <n v="0.46000000000000019"/>
    <x v="0"/>
    <n v="15"/>
    <n v="46"/>
  </r>
  <r>
    <n v="2"/>
    <d v="2019-05-25T12:00:00"/>
    <s v="Woold Wit"/>
    <n v="5"/>
    <n v="4"/>
    <n v="-0.87999999999999989"/>
    <m/>
    <n v="21.872265999999996"/>
    <x v="3"/>
    <n v="-0.88000000000000034"/>
    <x v="0"/>
    <n v="22"/>
    <n v="66"/>
  </r>
  <r>
    <n v="1"/>
    <d v="2019-05-25T12:00:00"/>
    <s v="Woold Wit"/>
    <n v="5"/>
    <n v="4"/>
    <n v="-0.87999999999999989"/>
    <m/>
    <n v="190.28871419999999"/>
    <x v="2"/>
    <n v="-0.46999999999999975"/>
    <x v="9"/>
    <n v="190"/>
    <n v="571"/>
  </r>
  <r>
    <n v="4"/>
    <d v="2019-05-25T12:00:00"/>
    <s v="Woold Wit"/>
    <n v="4"/>
    <n v="4"/>
    <n v="0.16999999999999993"/>
    <m/>
    <n v="1"/>
    <x v="0"/>
    <n v="4.0000000000000036E-2"/>
    <x v="0"/>
    <n v="1"/>
    <n v="3"/>
  </r>
  <r>
    <n v="3"/>
    <d v="2019-05-25T12:00:00"/>
    <s v="Woold Wit"/>
    <n v="4"/>
    <n v="4"/>
    <n v="0.16999999999999993"/>
    <m/>
    <n v="18.5914261"/>
    <x v="3"/>
    <n v="0.54999999999999982"/>
    <x v="29"/>
    <n v="19"/>
    <n v="56"/>
  </r>
  <r>
    <n v="2"/>
    <d v="2019-05-25T12:00:00"/>
    <s v="Woold Wit"/>
    <n v="4"/>
    <n v="4"/>
    <n v="0.16999999999999993"/>
    <m/>
    <n v="196.85039399999999"/>
    <x v="1"/>
    <n v="-0.39999999999999991"/>
    <x v="25"/>
    <n v="197"/>
    <n v="591"/>
  </r>
  <r>
    <n v="1"/>
    <d v="2019-05-25T12:00:00"/>
    <s v="Woold Wit"/>
    <n v="4"/>
    <n v="4"/>
    <n v="0.16999999999999993"/>
    <m/>
    <n v="421.04112049999998"/>
    <x v="2"/>
    <n v="-2.0000000000000018E-2"/>
    <x v="0"/>
    <n v="421"/>
    <n v="1263"/>
  </r>
  <r>
    <n v="6"/>
    <d v="2019-05-25T12:00:00"/>
    <s v="Woold Wit"/>
    <n v="3"/>
    <n v="6"/>
    <n v="-1.1799999999999997"/>
    <m/>
    <n v="0.66666666666666663"/>
    <x v="0"/>
    <n v="1.0000000000000009E-2"/>
    <x v="0"/>
    <n v="1"/>
    <n v="2"/>
  </r>
  <r>
    <n v="5"/>
    <d v="2019-05-25T12:00:00"/>
    <s v="Woold Wit"/>
    <n v="3"/>
    <n v="6"/>
    <n v="-1.1799999999999997"/>
    <m/>
    <n v="4.3744531999999996"/>
    <x v="0"/>
    <n v="-0.29800000000000004"/>
    <x v="6"/>
    <n v="4"/>
    <n v="13"/>
  </r>
  <r>
    <n v="4"/>
    <d v="2019-05-25T12:00:00"/>
    <s v="Woold Wit"/>
    <n v="3"/>
    <n v="6"/>
    <n v="-1.1799999999999997"/>
    <m/>
    <n v="15.310586199999999"/>
    <x v="3"/>
    <n v="-0.24199999999999977"/>
    <x v="17"/>
    <n v="15"/>
    <n v="46"/>
  </r>
  <r>
    <n v="3"/>
    <d v="2019-05-25T12:00:00"/>
    <s v="Woold Wit"/>
    <n v="3"/>
    <n v="6"/>
    <n v="-1.1799999999999997"/>
    <m/>
    <n v="157.48031519999998"/>
    <x v="1"/>
    <n v="-0.49000000000000021"/>
    <x v="7"/>
    <n v="157"/>
    <n v="472"/>
  </r>
  <r>
    <n v="2"/>
    <d v="2019-05-25T12:00:00"/>
    <s v="Woold Wit"/>
    <n v="3"/>
    <n v="6"/>
    <n v="-1.1799999999999997"/>
    <m/>
    <n v="205.59930039999998"/>
    <x v="5"/>
    <n v="-6.0000000000000053E-2"/>
    <x v="0"/>
    <n v="206"/>
    <n v="617"/>
  </r>
  <r>
    <n v="1"/>
    <d v="2019-05-25T12:00:00"/>
    <s v="Woold Wit"/>
    <n v="3"/>
    <n v="6"/>
    <n v="-1.1799999999999997"/>
    <m/>
    <n v="554.46194309999998"/>
    <x v="2"/>
    <n v="-9.9999999999999645E-2"/>
    <x v="0"/>
    <n v="554"/>
    <n v="1663"/>
  </r>
  <r>
    <n v="6"/>
    <d v="2019-05-25T12:00:00"/>
    <s v="Woold Wit"/>
    <n v="2"/>
    <n v="6"/>
    <n v="-1.7199999999999998"/>
    <m/>
    <n v="0.33333333333333331"/>
    <x v="0"/>
    <n v="1.0000000000000009E-2"/>
    <x v="0"/>
    <n v="0"/>
    <n v="1"/>
  </r>
  <r>
    <n v="5"/>
    <d v="2019-05-25T12:00:00"/>
    <s v="Woold Wit"/>
    <n v="2"/>
    <n v="6"/>
    <n v="-1.7199999999999998"/>
    <m/>
    <n v="1"/>
    <x v="0"/>
    <n v="-0.97"/>
    <x v="6"/>
    <n v="1"/>
    <n v="3"/>
  </r>
  <r>
    <n v="4"/>
    <d v="2019-05-25T12:00:00"/>
    <s v="Woold Wit"/>
    <n v="2"/>
    <n v="6"/>
    <n v="-1.7199999999999998"/>
    <m/>
    <n v="14.216972899999998"/>
    <x v="0"/>
    <n v="3.6000000000000032E-2"/>
    <x v="8"/>
    <n v="14"/>
    <n v="43"/>
  </r>
  <r>
    <n v="3"/>
    <d v="2019-05-25T12:00:00"/>
    <s v="Woold Wit"/>
    <n v="2"/>
    <n v="6"/>
    <n v="-1.7199999999999998"/>
    <m/>
    <n v="44.838145299999994"/>
    <x v="3"/>
    <n v="-0.29600000000000026"/>
    <x v="16"/>
    <n v="45"/>
    <n v="135"/>
  </r>
  <r>
    <n v="2"/>
    <d v="2019-05-25T12:00:00"/>
    <s v="Woold Wit"/>
    <n v="2"/>
    <n v="6"/>
    <n v="-1.7199999999999998"/>
    <m/>
    <n v="229.65879299999997"/>
    <x v="5"/>
    <n v="0.14000000000000012"/>
    <x v="0"/>
    <n v="230"/>
    <n v="689"/>
  </r>
  <r>
    <n v="1"/>
    <d v="2019-05-25T12:00:00"/>
    <s v="Woold Wit"/>
    <n v="2"/>
    <n v="6"/>
    <n v="-1.7199999999999998"/>
    <m/>
    <n v="440.72615989999997"/>
    <x v="2"/>
    <n v="-0.63999999999999968"/>
    <x v="0"/>
    <n v="441"/>
    <n v="1322"/>
  </r>
  <r>
    <n v="4"/>
    <d v="2019-05-25T12:00:00"/>
    <s v="Woold Wit"/>
    <n v="1"/>
    <n v="4"/>
    <n v="-2.4999999999999911E-2"/>
    <m/>
    <n v="1"/>
    <x v="0"/>
    <n v="4.0000000000000036E-2"/>
    <x v="0"/>
    <n v="1"/>
    <n v="3"/>
  </r>
  <r>
    <n v="3"/>
    <d v="2019-05-25T12:00:00"/>
    <s v="Woold Wit"/>
    <n v="1"/>
    <n v="4"/>
    <n v="-2.4999999999999911E-2"/>
    <m/>
    <n v="10.936132999999998"/>
    <x v="0"/>
    <n v="-4.4000000000000039E-2"/>
    <x v="8"/>
    <n v="11"/>
    <n v="33"/>
  </r>
  <r>
    <n v="2"/>
    <d v="2019-05-25T12:00:00"/>
    <s v="Woold Wit"/>
    <n v="1"/>
    <n v="4"/>
    <n v="-2.4999999999999911E-2"/>
    <m/>
    <n v="107.17410339999999"/>
    <x v="1"/>
    <n v="-0.19600000000000017"/>
    <x v="23"/>
    <n v="107"/>
    <n v="322"/>
  </r>
  <r>
    <n v="1"/>
    <d v="2019-05-25T12:00:00"/>
    <s v="Woold Wit"/>
    <n v="1"/>
    <n v="4"/>
    <n v="-2.4999999999999911E-2"/>
    <m/>
    <n v="363.07961559999995"/>
    <x v="2"/>
    <n v="0.17500000000000027"/>
    <x v="0"/>
    <n v="363"/>
    <n v="1089"/>
  </r>
  <r>
    <n v="5"/>
    <d v="2019-05-24T12:00:00"/>
    <s v="EG-white"/>
    <n v="9"/>
    <n v="5"/>
    <n v="-0.20999999999999996"/>
    <m/>
    <n v="0.66666666666666663"/>
    <x v="0"/>
    <n v="1.0000000000000009E-2"/>
    <x v="0"/>
    <n v="1"/>
    <n v="2"/>
  </r>
  <r>
    <n v="4"/>
    <d v="2019-05-24T12:00:00"/>
    <s v="EG-white"/>
    <n v="9"/>
    <n v="5"/>
    <n v="-0.20999999999999996"/>
    <m/>
    <n v="15.310586199999999"/>
    <x v="1"/>
    <n v="0.28000000000000003"/>
    <x v="0"/>
    <n v="15"/>
    <n v="46"/>
  </r>
  <r>
    <n v="3"/>
    <d v="2019-05-24T12:00:00"/>
    <s v="EG-white"/>
    <n v="9"/>
    <n v="5"/>
    <n v="-0.20999999999999996"/>
    <m/>
    <n v="33.902012299999996"/>
    <x v="4"/>
    <n v="-0.76000000000000023"/>
    <x v="7"/>
    <n v="34"/>
    <n v="102"/>
  </r>
  <r>
    <n v="2"/>
    <d v="2019-05-24T12:00:00"/>
    <s v="EG-white"/>
    <n v="9"/>
    <n v="5"/>
    <n v="-0.20999999999999996"/>
    <m/>
    <n v="234.03324619999998"/>
    <x v="1"/>
    <n v="-7.9999999999999627E-2"/>
    <x v="30"/>
    <n v="234"/>
    <n v="702"/>
  </r>
  <r>
    <n v="1"/>
    <d v="2019-05-24T12:00:00"/>
    <s v="EG-white"/>
    <n v="9"/>
    <n v="5"/>
    <n v="-0.20999999999999996"/>
    <m/>
    <n v="530.40245049999999"/>
    <x v="2"/>
    <n v="0.33999999999999986"/>
    <x v="0"/>
    <n v="530"/>
    <n v="1591"/>
  </r>
  <r>
    <n v="3"/>
    <d v="2019-05-24T12:00:00"/>
    <s v="EG-white"/>
    <n v="8"/>
    <n v="3"/>
    <n v="-9.9999999999997868E-3"/>
    <m/>
    <n v="1"/>
    <x v="0"/>
    <n v="4.0000000000000036E-2"/>
    <x v="0"/>
    <n v="1"/>
    <n v="3"/>
  </r>
  <r>
    <n v="2"/>
    <d v="2019-05-24T12:00:00"/>
    <s v="EG-white"/>
    <n v="8"/>
    <n v="3"/>
    <n v="-9.9999999999997868E-3"/>
    <m/>
    <n v="5.4680664999999991"/>
    <x v="0"/>
    <n v="-0.24199999999999999"/>
    <x v="2"/>
    <n v="5"/>
    <n v="16"/>
  </r>
  <r>
    <n v="1"/>
    <d v="2019-05-24T12:00:00"/>
    <s v="EG-white"/>
    <n v="8"/>
    <n v="3"/>
    <n v="-9.9999999999997868E-3"/>
    <m/>
    <n v="157.48031519999998"/>
    <x v="2"/>
    <n v="0.19200000000000017"/>
    <x v="22"/>
    <n v="157"/>
    <n v="472"/>
  </r>
  <r>
    <n v="4"/>
    <d v="2019-05-24T12:00:00"/>
    <s v="EG-white"/>
    <n v="7"/>
    <n v="4"/>
    <n v="0.41000000000000014"/>
    <m/>
    <n v="1"/>
    <x v="0"/>
    <n v="4.0000000000000036E-2"/>
    <x v="0"/>
    <n v="1"/>
    <n v="3"/>
  </r>
  <r>
    <n v="3"/>
    <d v="2019-05-24T12:00:00"/>
    <s v="EG-white"/>
    <n v="7"/>
    <n v="4"/>
    <n v="0.41000000000000014"/>
    <m/>
    <n v="8.7489063999999992"/>
    <x v="0"/>
    <n v="-0.10000000000000009"/>
    <x v="5"/>
    <n v="9"/>
    <n v="26"/>
  </r>
  <r>
    <n v="2"/>
    <d v="2019-05-24T12:00:00"/>
    <s v="EG-white"/>
    <n v="7"/>
    <n v="4"/>
    <n v="0.41000000000000014"/>
    <m/>
    <n v="145.45056889999998"/>
    <x v="1"/>
    <n v="-2.9999999999999805E-2"/>
    <x v="14"/>
    <n v="145"/>
    <n v="436"/>
  </r>
  <r>
    <n v="1"/>
    <d v="2019-05-24T12:00:00"/>
    <s v="EG-white"/>
    <n v="7"/>
    <n v="4"/>
    <n v="0.41000000000000014"/>
    <m/>
    <n v="460.41119929999996"/>
    <x v="2"/>
    <n v="0.5"/>
    <x v="0"/>
    <n v="460"/>
    <n v="1381"/>
  </r>
  <r>
    <n v="4"/>
    <d v="2019-05-24T12:00:00"/>
    <s v="EG-white"/>
    <n v="6"/>
    <n v="4"/>
    <n v="4.9999999999998934E-3"/>
    <m/>
    <n v="1.3333333333333333"/>
    <x v="0"/>
    <n v="0.12999999999999989"/>
    <x v="0"/>
    <n v="1"/>
    <n v="4"/>
  </r>
  <r>
    <n v="3"/>
    <d v="2019-05-24T12:00:00"/>
    <s v="EG-white"/>
    <n v="6"/>
    <n v="4"/>
    <n v="4.9999999999998934E-3"/>
    <m/>
    <n v="10.936132999999998"/>
    <x v="0"/>
    <n v="-0.1339999999999999"/>
    <x v="5"/>
    <n v="11"/>
    <n v="33"/>
  </r>
  <r>
    <n v="2"/>
    <d v="2019-05-24T12:00:00"/>
    <s v="EG-white"/>
    <n v="6"/>
    <n v="4"/>
    <n v="4.9999999999998934E-3"/>
    <m/>
    <n v="124.67191619999998"/>
    <x v="1"/>
    <n v="-0.14599999999999991"/>
    <x v="23"/>
    <n v="125"/>
    <n v="374"/>
  </r>
  <r>
    <n v="1"/>
    <d v="2019-05-24T12:00:00"/>
    <s v="EG-white"/>
    <n v="6"/>
    <n v="4"/>
    <n v="4.9999999999998934E-3"/>
    <m/>
    <n v="377.29658849999998"/>
    <x v="2"/>
    <n v="0.1549999999999998"/>
    <x v="0"/>
    <n v="377"/>
    <n v="1132"/>
  </r>
  <r>
    <n v="4"/>
    <d v="2019-05-24T12:00:00"/>
    <s v="EG-white"/>
    <n v="5"/>
    <n v="4"/>
    <n v="-8.0000000000000071E-2"/>
    <m/>
    <n v="4.666666666666667"/>
    <x v="0"/>
    <n v="0.71199999999999997"/>
    <x v="0"/>
    <n v="5"/>
    <n v="14"/>
  </r>
  <r>
    <n v="3"/>
    <d v="2019-05-24T12:00:00"/>
    <s v="EG-white"/>
    <n v="5"/>
    <n v="4"/>
    <n v="-8.0000000000000071E-2"/>
    <m/>
    <n v="100.61242359999999"/>
    <x v="3"/>
    <n v="0.248"/>
    <x v="0"/>
    <n v="101"/>
    <n v="302"/>
  </r>
  <r>
    <n v="2"/>
    <d v="2019-05-24T12:00:00"/>
    <s v="EG-white"/>
    <n v="5"/>
    <n v="4"/>
    <n v="-8.0000000000000071E-2"/>
    <m/>
    <n v="100.61242359999999"/>
    <x v="5"/>
    <n v="-0.16000000000000014"/>
    <x v="0"/>
    <n v="101"/>
    <n v="302"/>
  </r>
  <r>
    <n v="1"/>
    <d v="2019-05-24T12:00:00"/>
    <s v="EG-white"/>
    <n v="5"/>
    <n v="4"/>
    <n v="-8.0000000000000071E-2"/>
    <m/>
    <n v="334.64566979999995"/>
    <x v="2"/>
    <n v="-0.87999999999999989"/>
    <x v="0"/>
    <n v="335"/>
    <n v="1004"/>
  </r>
  <r>
    <n v="5"/>
    <d v="2019-05-24T12:00:00"/>
    <s v="EG-white"/>
    <n v="4"/>
    <n v="5"/>
    <n v="-0.17999999999999972"/>
    <m/>
    <n v="0.66666666666666663"/>
    <x v="0"/>
    <n v="1.0000000000000009E-2"/>
    <x v="0"/>
    <n v="1"/>
    <n v="2"/>
  </r>
  <r>
    <n v="4"/>
    <d v="2019-05-24T12:00:00"/>
    <s v="EG-white"/>
    <n v="4"/>
    <n v="5"/>
    <n v="-0.17999999999999972"/>
    <m/>
    <n v="14.216972899999998"/>
    <x v="0"/>
    <n v="6.6000000000000059E-2"/>
    <x v="5"/>
    <n v="14"/>
    <n v="43"/>
  </r>
  <r>
    <n v="3"/>
    <d v="2019-05-24T12:00:00"/>
    <s v="EG-white"/>
    <n v="4"/>
    <n v="5"/>
    <n v="-0.17999999999999972"/>
    <m/>
    <n v="32.808398999999994"/>
    <x v="3"/>
    <n v="-0.48600000000000021"/>
    <x v="0"/>
    <n v="33"/>
    <n v="98"/>
  </r>
  <r>
    <n v="2"/>
    <d v="2019-05-24T12:00:00"/>
    <s v="EG-white"/>
    <n v="4"/>
    <n v="5"/>
    <n v="-0.17999999999999972"/>
    <m/>
    <n v="279.96500479999997"/>
    <x v="1"/>
    <n v="0.18999999999999995"/>
    <x v="31"/>
    <n v="280"/>
    <n v="840"/>
  </r>
  <r>
    <n v="1"/>
    <d v="2019-05-24T12:00:00"/>
    <s v="EG-white"/>
    <n v="4"/>
    <n v="5"/>
    <n v="-0.17999999999999972"/>
    <m/>
    <n v="577.42782239999997"/>
    <x v="2"/>
    <n v="4.000000000000048E-2"/>
    <x v="0"/>
    <n v="577"/>
    <n v="1732"/>
  </r>
  <r>
    <n v="4"/>
    <d v="2019-05-24T12:00:00"/>
    <s v="EG-white"/>
    <n v="3"/>
    <n v="4"/>
    <n v="-0.79"/>
    <m/>
    <n v="1"/>
    <x v="0"/>
    <n v="4.0000000000000036E-2"/>
    <x v="0"/>
    <n v="1"/>
    <n v="3"/>
  </r>
  <r>
    <n v="3"/>
    <d v="2019-05-24T12:00:00"/>
    <s v="EG-white"/>
    <n v="3"/>
    <n v="4"/>
    <n v="-0.79"/>
    <m/>
    <n v="8.7489063999999992"/>
    <x v="0"/>
    <n v="-0.10000000000000009"/>
    <x v="6"/>
    <n v="9"/>
    <n v="26"/>
  </r>
  <r>
    <n v="2"/>
    <d v="2019-05-24T12:00:00"/>
    <s v="EG-white"/>
    <n v="3"/>
    <n v="4"/>
    <n v="-0.79"/>
    <m/>
    <n v="21.872265999999996"/>
    <x v="3"/>
    <n v="-0.35000000000000009"/>
    <x v="14"/>
    <n v="22"/>
    <n v="66"/>
  </r>
  <r>
    <n v="1"/>
    <d v="2019-05-24T12:00:00"/>
    <s v="EG-white"/>
    <n v="3"/>
    <n v="4"/>
    <n v="-0.79"/>
    <m/>
    <n v="227.47156639999997"/>
    <x v="2"/>
    <n v="-0.37999999999999989"/>
    <x v="9"/>
    <n v="227"/>
    <n v="682"/>
  </r>
  <r>
    <n v="3"/>
    <d v="2019-05-24T12:00:00"/>
    <s v="EG-white"/>
    <n v="2"/>
    <n v="3"/>
    <n v="0.81099999999999994"/>
    <m/>
    <n v="2.6666666666666665"/>
    <x v="0"/>
    <n v="0.41999999999999993"/>
    <x v="0"/>
    <n v="3"/>
    <n v="8"/>
  </r>
  <r>
    <n v="2"/>
    <d v="2019-05-24T12:00:00"/>
    <s v="EG-white"/>
    <n v="2"/>
    <n v="3"/>
    <n v="0.81099999999999994"/>
    <m/>
    <n v="74.365704399999998"/>
    <x v="1"/>
    <n v="0.33000000000000007"/>
    <x v="1"/>
    <n v="74"/>
    <n v="223"/>
  </r>
  <r>
    <n v="1"/>
    <d v="2019-05-24T12:00:00"/>
    <s v="EG-white"/>
    <n v="2"/>
    <n v="3"/>
    <n v="0.81099999999999994"/>
    <m/>
    <n v="300.74365749999998"/>
    <x v="2"/>
    <n v="6.0999999999999943E-2"/>
    <x v="0"/>
    <n v="301"/>
    <n v="902"/>
  </r>
  <r>
    <n v="4"/>
    <d v="2019-05-24T12:00:00"/>
    <s v="EG-white"/>
    <n v="1"/>
    <n v="4"/>
    <n v="8.0000000000000071E-2"/>
    <m/>
    <n v="1.3333333333333333"/>
    <x v="0"/>
    <n v="0.12999999999999989"/>
    <x v="0"/>
    <n v="1"/>
    <n v="4"/>
  </r>
  <r>
    <n v="3"/>
    <d v="2019-05-24T12:00:00"/>
    <s v="EG-white"/>
    <n v="1"/>
    <n v="4"/>
    <n v="8.0000000000000071E-2"/>
    <m/>
    <n v="131.23359599999998"/>
    <x v="3"/>
    <n v="1.02"/>
    <x v="29"/>
    <n v="131"/>
    <n v="394"/>
  </r>
  <r>
    <n v="2"/>
    <d v="2019-05-24T12:00:00"/>
    <s v="EG-white"/>
    <n v="1"/>
    <n v="4"/>
    <n v="8.0000000000000071E-2"/>
    <m/>
    <n v="131.23359599999998"/>
    <x v="5"/>
    <n v="-0.35000000000000009"/>
    <x v="0"/>
    <n v="131"/>
    <n v="394"/>
  </r>
  <r>
    <n v="1"/>
    <d v="2019-05-24T12:00:00"/>
    <s v="EG-white"/>
    <n v="1"/>
    <n v="4"/>
    <n v="8.0000000000000071E-2"/>
    <m/>
    <n v="419.94750719999996"/>
    <x v="2"/>
    <n v="-0.71999999999999975"/>
    <x v="0"/>
    <n v="420"/>
    <n v="1260"/>
  </r>
  <r>
    <n v="4"/>
    <d v="2019-05-03T12:00:00"/>
    <s v="Gualdemina Sud White"/>
    <n v="18"/>
    <n v="4"/>
    <n v="4.9999999999998934E-3"/>
    <m/>
    <n v="1.0936132999999999"/>
    <x v="0"/>
    <n v="4.0000000000000036E-2"/>
    <x v="0"/>
    <n v="1"/>
    <n v="3"/>
  </r>
  <r>
    <n v="3"/>
    <d v="2019-05-03T12:00:00"/>
    <s v="Gualdemina Sud White"/>
    <n v="18"/>
    <n v="4"/>
    <n v="4.9999999999998934E-3"/>
    <m/>
    <n v="5.4680664999999991"/>
    <x v="0"/>
    <n v="-0.24199999999999999"/>
    <x v="6"/>
    <n v="5"/>
    <n v="16"/>
  </r>
  <r>
    <n v="2"/>
    <d v="2019-05-03T12:00:00"/>
    <s v="Gualdemina Sud White"/>
    <n v="18"/>
    <n v="4"/>
    <n v="4.9999999999998934E-3"/>
    <m/>
    <n v="125.76552949999999"/>
    <x v="1"/>
    <n v="5.2000000000000046E-2"/>
    <x v="0"/>
    <n v="126"/>
    <n v="377"/>
  </r>
  <r>
    <n v="1"/>
    <d v="2019-05-03T12:00:00"/>
    <s v="Gualdemina Sud White"/>
    <n v="18"/>
    <n v="4"/>
    <n v="4.9999999999998934E-3"/>
    <m/>
    <n v="377.29658849999998"/>
    <x v="2"/>
    <n v="0.1549999999999998"/>
    <x v="0"/>
    <n v="377"/>
    <n v="1132"/>
  </r>
  <r>
    <n v="4"/>
    <d v="2019-05-03T12:00:00"/>
    <s v="Gualdemina Sud White"/>
    <n v="17"/>
    <n v="4"/>
    <n v="0.47499999999999964"/>
    <m/>
    <n v="3.2808398999999997"/>
    <x v="0"/>
    <n v="0.56000000000000005"/>
    <x v="0"/>
    <n v="3"/>
    <n v="10"/>
  </r>
  <r>
    <n v="3"/>
    <d v="2019-05-03T12:00:00"/>
    <s v="Gualdemina Sud White"/>
    <n v="17"/>
    <n v="4"/>
    <n v="0.47499999999999964"/>
    <m/>
    <n v="6.5616797999999994"/>
    <x v="0"/>
    <n v="-0.70799999999999996"/>
    <x v="8"/>
    <n v="7"/>
    <n v="20"/>
  </r>
  <r>
    <n v="2"/>
    <d v="2019-05-03T12:00:00"/>
    <s v="Gualdemina Sud White"/>
    <n v="17"/>
    <n v="4"/>
    <n v="0.47499999999999964"/>
    <m/>
    <n v="199.03762059999997"/>
    <x v="1"/>
    <n v="0.33799999999999986"/>
    <x v="0"/>
    <n v="199"/>
    <n v="597"/>
  </r>
  <r>
    <n v="1"/>
    <d v="2019-05-03T12:00:00"/>
    <s v="Gualdemina Sud White"/>
    <n v="17"/>
    <n v="4"/>
    <n v="0.47499999999999964"/>
    <m/>
    <n v="474.62817219999994"/>
    <x v="2"/>
    <n v="0.2849999999999997"/>
    <x v="0"/>
    <n v="475"/>
    <n v="1424"/>
  </r>
  <r>
    <n v="4"/>
    <d v="2019-05-03T12:00:00"/>
    <s v="Gualdemina Sud White"/>
    <n v="16"/>
    <n v="4"/>
    <n v="-6.0000000000000053E-2"/>
    <m/>
    <n v="10.936132999999998"/>
    <x v="0"/>
    <n v="0.996"/>
    <x v="0"/>
    <n v="11"/>
    <n v="33"/>
  </r>
  <r>
    <n v="3"/>
    <d v="2019-05-03T12:00:00"/>
    <s v="Gualdemina Sud White"/>
    <n v="16"/>
    <n v="4"/>
    <n v="-6.0000000000000053E-2"/>
    <m/>
    <n v="67.804024599999991"/>
    <x v="1"/>
    <n v="-0.29599999999999982"/>
    <x v="0"/>
    <n v="68"/>
    <n v="203"/>
  </r>
  <r>
    <n v="2"/>
    <d v="2019-05-03T12:00:00"/>
    <s v="Gualdemina Sud White"/>
    <n v="16"/>
    <n v="4"/>
    <n v="-6.0000000000000053E-2"/>
    <m/>
    <n v="77.646544299999988"/>
    <x v="4"/>
    <n v="-0.45999999999999996"/>
    <x v="0"/>
    <n v="78"/>
    <n v="233"/>
  </r>
  <r>
    <n v="1"/>
    <d v="2019-05-03T12:00:00"/>
    <s v="Gualdemina Sud White"/>
    <n v="16"/>
    <n v="4"/>
    <n v="-6.0000000000000053E-2"/>
    <m/>
    <n v="351.04986929999995"/>
    <x v="2"/>
    <n v="-0.30000000000000027"/>
    <x v="0"/>
    <n v="351"/>
    <n v="1053"/>
  </r>
  <r>
    <n v="4"/>
    <d v="2019-05-03T12:00:00"/>
    <s v="Gualdemina Sud White"/>
    <n v="15"/>
    <n v="4"/>
    <n v="-6.0000000000000053E-2"/>
    <m/>
    <n v="1.0936132999999999"/>
    <x v="0"/>
    <n v="4.0000000000000036E-2"/>
    <x v="0"/>
    <n v="1"/>
    <n v="3"/>
  </r>
  <r>
    <n v="3"/>
    <d v="2019-05-03T12:00:00"/>
    <s v="Gualdemina Sud White"/>
    <n v="15"/>
    <n v="4"/>
    <n v="-6.0000000000000053E-2"/>
    <m/>
    <n v="3.2808398999999997"/>
    <x v="0"/>
    <n v="-0.48"/>
    <x v="8"/>
    <n v="3"/>
    <n v="10"/>
  </r>
  <r>
    <n v="2"/>
    <d v="2019-05-03T12:00:00"/>
    <s v="Gualdemina Sud White"/>
    <n v="15"/>
    <n v="4"/>
    <n v="-6.0000000000000053E-2"/>
    <m/>
    <n v="20.778652699999999"/>
    <x v="3"/>
    <n v="2.9999999999999805E-2"/>
    <x v="0"/>
    <n v="21"/>
    <n v="62"/>
  </r>
  <r>
    <n v="1"/>
    <d v="2019-05-03T12:00:00"/>
    <s v="Gualdemina Sud White"/>
    <n v="15"/>
    <n v="4"/>
    <n v="-6.0000000000000053E-2"/>
    <m/>
    <n v="351.04986929999995"/>
    <x v="2"/>
    <n v="0.35000000000000009"/>
    <x v="0"/>
    <n v="351"/>
    <n v="1053"/>
  </r>
  <r>
    <n v="3"/>
    <d v="2019-05-03T12:00:00"/>
    <s v="Gualdemina Sud White"/>
    <n v="14"/>
    <n v="3"/>
    <n v="4.9999999999999822E-2"/>
    <m/>
    <n v="3.2808398999999997"/>
    <x v="0"/>
    <n v="0.56000000000000005"/>
    <x v="0"/>
    <n v="3"/>
    <n v="10"/>
  </r>
  <r>
    <n v="2"/>
    <d v="2019-05-03T12:00:00"/>
    <s v="Gualdemina Sud White"/>
    <n v="14"/>
    <n v="3"/>
    <n v="4.9999999999999822E-2"/>
    <m/>
    <n v="8.7489063999999992"/>
    <x v="1"/>
    <n v="-0.53000000000000025"/>
    <x v="0"/>
    <n v="9"/>
    <n v="26"/>
  </r>
  <r>
    <n v="1"/>
    <d v="2019-05-03T12:00:00"/>
    <s v="Gualdemina Sud White"/>
    <n v="14"/>
    <n v="3"/>
    <n v="4.9999999999999822E-2"/>
    <m/>
    <n v="170.60367479999999"/>
    <x v="2"/>
    <n v="2.0000000000000018E-2"/>
    <x v="0"/>
    <n v="171"/>
    <n v="512"/>
  </r>
  <r>
    <n v="4"/>
    <d v="2019-05-03T12:00:00"/>
    <s v="Gualdemina Sud White"/>
    <n v="13"/>
    <n v="4"/>
    <n v="-8.0000000000000071E-2"/>
    <m/>
    <n v="1.0936132999999999"/>
    <x v="0"/>
    <n v="4.0000000000000036E-2"/>
    <x v="0"/>
    <n v="1"/>
    <n v="3"/>
  </r>
  <r>
    <n v="3"/>
    <d v="2019-05-03T12:00:00"/>
    <s v="Gualdemina Sud White"/>
    <n v="13"/>
    <n v="4"/>
    <n v="-8.0000000000000071E-2"/>
    <m/>
    <n v="3.2808398999999997"/>
    <x v="0"/>
    <n v="-0.48"/>
    <x v="8"/>
    <n v="3"/>
    <n v="10"/>
  </r>
  <r>
    <n v="2"/>
    <d v="2019-05-03T12:00:00"/>
    <s v="Gualdemina Sud White"/>
    <n v="13"/>
    <n v="4"/>
    <n v="-8.0000000000000071E-2"/>
    <m/>
    <n v="152.01224869999999"/>
    <x v="1"/>
    <n v="0.41999999999999993"/>
    <x v="0"/>
    <n v="152"/>
    <n v="456"/>
  </r>
  <r>
    <n v="1"/>
    <d v="2019-05-03T12:00:00"/>
    <s v="Gualdemina Sud White"/>
    <n v="13"/>
    <n v="4"/>
    <n v="-8.0000000000000071E-2"/>
    <m/>
    <n v="332.45844319999998"/>
    <x v="2"/>
    <n v="-6.0000000000000053E-2"/>
    <x v="0"/>
    <n v="332"/>
    <n v="997"/>
  </r>
  <r>
    <n v="3"/>
    <d v="2019-05-03T12:00:00"/>
    <s v="Gualdemina Sud White"/>
    <n v="12"/>
    <n v="3"/>
    <n v="0.82500000000000018"/>
    <m/>
    <n v="1.0936132999999999"/>
    <x v="0"/>
    <n v="4.0000000000000036E-2"/>
    <x v="0"/>
    <n v="1"/>
    <n v="3"/>
  </r>
  <r>
    <n v="2"/>
    <d v="2019-05-03T12:00:00"/>
    <s v="Gualdemina Sud White"/>
    <n v="12"/>
    <n v="3"/>
    <n v="0.82500000000000018"/>
    <m/>
    <n v="8.7489063999999992"/>
    <x v="1"/>
    <n v="-1.0000000000000231E-2"/>
    <x v="0"/>
    <n v="9"/>
    <n v="26"/>
  </r>
  <r>
    <n v="1"/>
    <d v="2019-05-03T12:00:00"/>
    <s v="Gualdemina Sud White"/>
    <n v="12"/>
    <n v="3"/>
    <n v="0.82500000000000018"/>
    <m/>
    <n v="309.49256389999999"/>
    <x v="2"/>
    <n v="0.79500000000000037"/>
    <x v="0"/>
    <n v="309"/>
    <n v="928"/>
  </r>
  <r>
    <n v="3"/>
    <d v="2019-05-03T12:00:00"/>
    <s v="Gualdemina Sud White"/>
    <n v="11"/>
    <n v="3"/>
    <n v="4.9999999999999822E-2"/>
    <m/>
    <n v="1.0936132999999999"/>
    <x v="0"/>
    <n v="4.0000000000000036E-2"/>
    <x v="0"/>
    <n v="1"/>
    <n v="3"/>
  </r>
  <r>
    <n v="2"/>
    <d v="2019-05-03T12:00:00"/>
    <s v="Gualdemina Sud White"/>
    <n v="11"/>
    <n v="3"/>
    <n v="4.9999999999999822E-2"/>
    <m/>
    <n v="17.497812799999998"/>
    <x v="1"/>
    <n v="0.25"/>
    <x v="0"/>
    <n v="17"/>
    <n v="52"/>
  </r>
  <r>
    <n v="1"/>
    <d v="2019-05-03T12:00:00"/>
    <s v="Gualdemina Sud White"/>
    <n v="11"/>
    <n v="3"/>
    <n v="4.9999999999999822E-2"/>
    <m/>
    <n v="166.22922159999999"/>
    <x v="2"/>
    <n v="-0.24000000000000021"/>
    <x v="0"/>
    <n v="166"/>
    <n v="499"/>
  </r>
  <r>
    <n v="4"/>
    <d v="2019-05-03T12:00:00"/>
    <s v="Gualdemina Sud White"/>
    <n v="10"/>
    <n v="4"/>
    <n v="8.0000000000000071E-2"/>
    <m/>
    <n v="1.0936132999999999"/>
    <x v="0"/>
    <n v="4.0000000000000036E-2"/>
    <x v="0"/>
    <n v="1"/>
    <n v="3"/>
  </r>
  <r>
    <n v="3"/>
    <d v="2019-05-03T12:00:00"/>
    <s v="Gualdemina Sud White"/>
    <n v="10"/>
    <n v="4"/>
    <n v="8.0000000000000071E-2"/>
    <m/>
    <n v="6.5616797999999994"/>
    <x v="0"/>
    <n v="-0.18799999999999994"/>
    <x v="8"/>
    <n v="7"/>
    <n v="20"/>
  </r>
  <r>
    <n v="2"/>
    <d v="2019-05-03T12:00:00"/>
    <s v="Gualdemina Sud White"/>
    <n v="10"/>
    <n v="4"/>
    <n v="8.0000000000000071E-2"/>
    <m/>
    <n v="120.29746299999999"/>
    <x v="1"/>
    <n v="-2.0000000000000018E-3"/>
    <x v="0"/>
    <n v="120"/>
    <n v="361"/>
  </r>
  <r>
    <n v="1"/>
    <d v="2019-05-03T12:00:00"/>
    <s v="Gualdemina Sud White"/>
    <n v="10"/>
    <n v="4"/>
    <n v="8.0000000000000071E-2"/>
    <m/>
    <n v="403.54330769999996"/>
    <x v="2"/>
    <n v="0.22999999999999998"/>
    <x v="0"/>
    <n v="404"/>
    <n v="1211"/>
  </r>
  <r>
    <n v="3"/>
    <d v="2019-05-03T12:00:00"/>
    <s v="Gualdemina Sud White"/>
    <n v="9"/>
    <n v="3"/>
    <n v="0.16999999999999993"/>
    <m/>
    <n v="0.33333333333333331"/>
    <x v="0"/>
    <n v="1.0000000000000009E-2"/>
    <x v="0"/>
    <n v="0"/>
    <n v="1"/>
  </r>
  <r>
    <n v="2"/>
    <d v="2019-05-03T12:00:00"/>
    <s v="Gualdemina Sud White"/>
    <n v="9"/>
    <n v="3"/>
    <n v="0.16999999999999993"/>
    <m/>
    <n v="4.3744531999999996"/>
    <x v="0"/>
    <n v="-0.29800000000000004"/>
    <x v="8"/>
    <n v="4"/>
    <n v="13"/>
  </r>
  <r>
    <n v="1"/>
    <d v="2019-05-03T12:00:00"/>
    <s v="Gualdemina Sud White"/>
    <n v="9"/>
    <n v="3"/>
    <n v="0.16999999999999993"/>
    <m/>
    <n v="207.78652699999998"/>
    <x v="2"/>
    <n v="0.45799999999999996"/>
    <x v="0"/>
    <n v="208"/>
    <n v="623"/>
  </r>
  <r>
    <n v="5"/>
    <d v="2019-05-03T12:00:00"/>
    <s v="Gualdemina Sud White"/>
    <n v="8"/>
    <n v="5"/>
    <n v="-0.77500000000000036"/>
    <m/>
    <n v="1.0936132999999999"/>
    <x v="0"/>
    <n v="4.0000000000000036E-2"/>
    <x v="0"/>
    <n v="1"/>
    <n v="3"/>
  </r>
  <r>
    <n v="4"/>
    <d v="2019-05-03T12:00:00"/>
    <s v="Gualdemina Sud White"/>
    <n v="8"/>
    <n v="5"/>
    <n v="-0.77500000000000036"/>
    <m/>
    <n v="15.310586199999999"/>
    <x v="0"/>
    <n v="6.800000000000006E-2"/>
    <x v="6"/>
    <n v="15"/>
    <n v="46"/>
  </r>
  <r>
    <n v="3"/>
    <d v="2019-05-03T12:00:00"/>
    <s v="Gualdemina Sud White"/>
    <n v="8"/>
    <n v="5"/>
    <n v="-0.77500000000000036"/>
    <m/>
    <n v="54.680664999999998"/>
    <x v="4"/>
    <n v="-0.28800000000000026"/>
    <x v="0"/>
    <n v="55"/>
    <n v="164"/>
  </r>
  <r>
    <n v="2"/>
    <d v="2019-05-03T12:00:00"/>
    <s v="Gualdemina Sud White"/>
    <n v="8"/>
    <n v="5"/>
    <n v="-0.77500000000000036"/>
    <m/>
    <n v="202.31846049999999"/>
    <x v="1"/>
    <n v="-0.5"/>
    <x v="0"/>
    <n v="202"/>
    <n v="607"/>
  </r>
  <r>
    <n v="1"/>
    <d v="2019-05-03T12:00:00"/>
    <s v="Gualdemina Sud White"/>
    <n v="8"/>
    <n v="5"/>
    <n v="-0.77500000000000036"/>
    <m/>
    <n v="434.16448009999993"/>
    <x v="2"/>
    <n v="-9.5000000000000195E-2"/>
    <x v="0"/>
    <n v="434"/>
    <n v="1302"/>
  </r>
  <r>
    <n v="4"/>
    <d v="2019-05-03T12:00:00"/>
    <s v="Gualdemina Sud White"/>
    <n v="7"/>
    <n v="4"/>
    <n v="0.59750000000000014"/>
    <m/>
    <n v="6.5616797999999994"/>
    <x v="0"/>
    <n v="0.85200000000000009"/>
    <x v="0"/>
    <n v="7"/>
    <n v="20"/>
  </r>
  <r>
    <n v="3"/>
    <d v="2019-05-03T12:00:00"/>
    <s v="Gualdemina Sud White"/>
    <n v="7"/>
    <n v="4"/>
    <n v="0.59750000000000014"/>
    <m/>
    <n v="85.301837399999997"/>
    <x v="4"/>
    <n v="0.38800000000000012"/>
    <x v="0"/>
    <n v="85"/>
    <n v="256"/>
  </r>
  <r>
    <n v="2"/>
    <d v="2019-05-03T12:00:00"/>
    <s v="Gualdemina Sud White"/>
    <n v="7"/>
    <n v="4"/>
    <n v="0.59750000000000014"/>
    <m/>
    <n v="196.85039399999999"/>
    <x v="1"/>
    <n v="-1.0500000000000003"/>
    <x v="0"/>
    <n v="197"/>
    <n v="591"/>
  </r>
  <r>
    <n v="1"/>
    <d v="2019-05-03T12:00:00"/>
    <s v="Gualdemina Sud White"/>
    <n v="7"/>
    <n v="4"/>
    <n v="0.59750000000000014"/>
    <m/>
    <n v="486.65791849999994"/>
    <x v="2"/>
    <n v="0.4075000000000002"/>
    <x v="0"/>
    <n v="487"/>
    <n v="1460"/>
  </r>
  <r>
    <n v="5"/>
    <d v="2019-05-03T12:00:00"/>
    <s v="Gualdemina Sud White"/>
    <n v="6"/>
    <n v="5"/>
    <n v="-0.17999999999999972"/>
    <m/>
    <n v="1.0936132999999999"/>
    <x v="0"/>
    <n v="4.0000000000000036E-2"/>
    <x v="0"/>
    <n v="1"/>
    <n v="3"/>
  </r>
  <r>
    <n v="4"/>
    <d v="2019-05-03T12:00:00"/>
    <s v="Gualdemina Sud White"/>
    <n v="6"/>
    <n v="5"/>
    <n v="-0.17999999999999972"/>
    <m/>
    <n v="75.4593177"/>
    <x v="1"/>
    <n v="0.71"/>
    <x v="0"/>
    <n v="75"/>
    <n v="226"/>
  </r>
  <r>
    <n v="3"/>
    <d v="2019-05-03T12:00:00"/>
    <s v="Gualdemina Sud White"/>
    <n v="6"/>
    <n v="5"/>
    <n v="-0.17999999999999972"/>
    <m/>
    <n v="85.301837399999997"/>
    <x v="1"/>
    <n v="-1"/>
    <x v="0"/>
    <n v="85"/>
    <n v="256"/>
  </r>
  <r>
    <n v="2"/>
    <d v="2019-05-03T12:00:00"/>
    <s v="Gualdemina Sud White"/>
    <n v="6"/>
    <n v="5"/>
    <n v="-0.17999999999999972"/>
    <m/>
    <n v="317.14785699999999"/>
    <x v="1"/>
    <n v="0.12999999999999989"/>
    <x v="0"/>
    <n v="317"/>
    <n v="951"/>
  </r>
  <r>
    <n v="1"/>
    <d v="2019-05-03T12:00:00"/>
    <s v="Gualdemina Sud White"/>
    <n v="6"/>
    <n v="5"/>
    <n v="-0.17999999999999972"/>
    <m/>
    <n v="575.24059579999994"/>
    <x v="2"/>
    <n v="-5.9999999999999609E-2"/>
    <x v="0"/>
    <n v="575"/>
    <n v="1726"/>
  </r>
  <r>
    <n v="4"/>
    <d v="2019-05-03T12:00:00"/>
    <s v="Gualdemina Sud White"/>
    <n v="5"/>
    <n v="4"/>
    <n v="8.3000000000000185E-2"/>
    <m/>
    <n v="2.1872265999999998"/>
    <x v="0"/>
    <n v="0.34000000000000008"/>
    <x v="0"/>
    <n v="2"/>
    <n v="7"/>
  </r>
  <r>
    <n v="3"/>
    <d v="2019-05-03T12:00:00"/>
    <s v="Gualdemina Sud White"/>
    <n v="5"/>
    <n v="4"/>
    <n v="8.3000000000000185E-2"/>
    <m/>
    <n v="10.936132999999998"/>
    <x v="1"/>
    <n v="-0.15999999999999992"/>
    <x v="0"/>
    <n v="11"/>
    <n v="33"/>
  </r>
  <r>
    <n v="2"/>
    <d v="2019-05-03T12:00:00"/>
    <s v="Gualdemina Sud White"/>
    <n v="5"/>
    <n v="4"/>
    <n v="8.3000000000000185E-2"/>
    <m/>
    <n v="147.63779549999998"/>
    <x v="1"/>
    <n v="-0.20000000000000018"/>
    <x v="0"/>
    <n v="148"/>
    <n v="443"/>
  </r>
  <r>
    <n v="1"/>
    <d v="2019-05-03T12:00:00"/>
    <s v="Gualdemina Sud White"/>
    <n v="5"/>
    <n v="4"/>
    <n v="8.3000000000000185E-2"/>
    <m/>
    <n v="399.16885449999995"/>
    <x v="2"/>
    <n v="0.1030000000000002"/>
    <x v="0"/>
    <n v="399"/>
    <n v="1198"/>
  </r>
  <r>
    <n v="5"/>
    <d v="2019-05-03T12:00:00"/>
    <s v="Gualdemina Sud White"/>
    <n v="4"/>
    <n v="5"/>
    <n v="-0.65500000000000025"/>
    <m/>
    <n v="3.2808398999999997"/>
    <x v="0"/>
    <n v="0.56000000000000005"/>
    <x v="0"/>
    <n v="3"/>
    <n v="10"/>
  </r>
  <r>
    <n v="4"/>
    <d v="2019-05-03T12:00:00"/>
    <s v="Gualdemina Sud White"/>
    <n v="4"/>
    <n v="5"/>
    <n v="-0.65500000000000025"/>
    <m/>
    <n v="8.7489063999999992"/>
    <x v="0"/>
    <n v="-0.62000000000000011"/>
    <x v="8"/>
    <n v="9"/>
    <n v="26"/>
  </r>
  <r>
    <n v="3"/>
    <d v="2019-05-03T12:00:00"/>
    <s v="Gualdemina Sud White"/>
    <n v="4"/>
    <n v="5"/>
    <n v="-0.65500000000000025"/>
    <m/>
    <n v="14.216972899999998"/>
    <x v="1"/>
    <n v="-0.64999999999999991"/>
    <x v="0"/>
    <n v="14"/>
    <n v="43"/>
  </r>
  <r>
    <n v="2"/>
    <d v="2019-05-03T12:00:00"/>
    <s v="Gualdemina Sud White"/>
    <n v="4"/>
    <n v="5"/>
    <n v="-0.65500000000000025"/>
    <m/>
    <n v="142.16972899999999"/>
    <x v="1"/>
    <n v="-0.37999999999999989"/>
    <x v="0"/>
    <n v="142"/>
    <n v="427"/>
  </r>
  <r>
    <n v="1"/>
    <d v="2019-05-03T12:00:00"/>
    <s v="Gualdemina Sud White"/>
    <n v="4"/>
    <n v="5"/>
    <n v="-0.65500000000000025"/>
    <m/>
    <n v="454.94313279999994"/>
    <x v="2"/>
    <n v="0.43499999999999961"/>
    <x v="0"/>
    <n v="455"/>
    <n v="1365"/>
  </r>
  <r>
    <n v="4"/>
    <d v="2019-05-03T12:00:00"/>
    <s v="Gualdemina Sud White"/>
    <n v="3"/>
    <n v="4"/>
    <n v="4.9999999999998934E-3"/>
    <m/>
    <n v="3.2808398999999997"/>
    <x v="0"/>
    <n v="0.56000000000000005"/>
    <x v="0"/>
    <n v="3"/>
    <n v="10"/>
  </r>
  <r>
    <n v="3"/>
    <d v="2019-05-03T12:00:00"/>
    <s v="Gualdemina Sud White"/>
    <n v="3"/>
    <n v="4"/>
    <n v="4.9999999999998934E-3"/>
    <m/>
    <n v="7.6552930999999997"/>
    <x v="1"/>
    <n v="-0.53000000000000025"/>
    <x v="0"/>
    <n v="8"/>
    <n v="23"/>
  </r>
  <r>
    <n v="2"/>
    <d v="2019-05-03T12:00:00"/>
    <s v="Gualdemina Sud White"/>
    <n v="3"/>
    <n v="4"/>
    <n v="4.9999999999998934E-3"/>
    <m/>
    <n v="106.08049009999999"/>
    <x v="1"/>
    <n v="-0.22999999999999998"/>
    <x v="0"/>
    <n v="106"/>
    <n v="318"/>
  </r>
  <r>
    <n v="1"/>
    <d v="2019-05-03T12:00:00"/>
    <s v="Gualdemina Sud White"/>
    <n v="3"/>
    <n v="4"/>
    <n v="4.9999999999998934E-3"/>
    <m/>
    <n v="378.39020179999994"/>
    <x v="2"/>
    <n v="0.20500000000000007"/>
    <x v="0"/>
    <n v="378"/>
    <n v="1135"/>
  </r>
  <r>
    <n v="3"/>
    <d v="2019-05-03T12:00:00"/>
    <s v="Gualdemina Sud White"/>
    <n v="2"/>
    <n v="3"/>
    <n v="0.12000000000000011"/>
    <m/>
    <n v="0.33333333333333331"/>
    <x v="0"/>
    <n v="1.0000000000000009E-2"/>
    <x v="0"/>
    <n v="0"/>
    <n v="1"/>
  </r>
  <r>
    <n v="2"/>
    <d v="2019-05-03T12:00:00"/>
    <s v="Gualdemina Sud White"/>
    <n v="2"/>
    <n v="3"/>
    <n v="0.12000000000000011"/>
    <m/>
    <n v="12.029746299999999"/>
    <x v="1"/>
    <n v="0.17000000000000015"/>
    <x v="0"/>
    <n v="12"/>
    <n v="36"/>
  </r>
  <r>
    <n v="1"/>
    <d v="2019-05-03T12:00:00"/>
    <s v="Gualdemina Sud White"/>
    <n v="2"/>
    <n v="3"/>
    <n v="0.12000000000000011"/>
    <m/>
    <n v="188.10148759999998"/>
    <x v="2"/>
    <n v="-6.0000000000000053E-2"/>
    <x v="0"/>
    <n v="188"/>
    <n v="564"/>
  </r>
  <r>
    <n v="4"/>
    <d v="2019-05-03T12:00:00"/>
    <s v="Gualdemina Sud White"/>
    <n v="1"/>
    <n v="4"/>
    <n v="8.0000000000000071E-2"/>
    <m/>
    <n v="0.33333333333333331"/>
    <x v="0"/>
    <n v="1.0000000000000009E-2"/>
    <x v="0"/>
    <n v="0"/>
    <n v="1"/>
  </r>
  <r>
    <n v="3"/>
    <d v="2019-05-03T12:00:00"/>
    <s v="Gualdemina Sud White"/>
    <n v="1"/>
    <n v="4"/>
    <n v="8.0000000000000071E-2"/>
    <m/>
    <n v="1.3333333333333333"/>
    <x v="0"/>
    <n v="-0.88000000000000012"/>
    <x v="8"/>
    <n v="1"/>
    <n v="4"/>
  </r>
  <r>
    <n v="2"/>
    <d v="2019-05-03T12:00:00"/>
    <s v="Gualdemina Sud White"/>
    <n v="1"/>
    <n v="4"/>
    <n v="8.0000000000000071E-2"/>
    <m/>
    <n v="129.04636939999997"/>
    <x v="1"/>
    <n v="0.78000000000000025"/>
    <x v="0"/>
    <n v="129"/>
    <n v="387"/>
  </r>
  <r>
    <n v="1"/>
    <d v="2019-05-03T12:00:00"/>
    <s v="Gualdemina Sud White"/>
    <n v="1"/>
    <n v="4"/>
    <n v="8.0000000000000071E-2"/>
    <m/>
    <n v="411.19860079999995"/>
    <x v="2"/>
    <n v="0.16999999999999993"/>
    <x v="0"/>
    <n v="411"/>
    <n v="1234"/>
  </r>
  <r>
    <n v="4"/>
    <d v="2019-04-29T14:00:00"/>
    <s v="El Higueral Golf White"/>
    <n v="9"/>
    <n v="4"/>
    <n v="-6.0000000000000053E-2"/>
    <m/>
    <n v="1.0936132999999999"/>
    <x v="0"/>
    <n v="4.0000000000000036E-2"/>
    <x v="0"/>
    <n v="1"/>
    <n v="3"/>
  </r>
  <r>
    <n v="3"/>
    <d v="2019-04-29T14:00:00"/>
    <s v="El Higueral Golf White"/>
    <n v="9"/>
    <n v="4"/>
    <n v="-6.0000000000000053E-2"/>
    <m/>
    <n v="8.7489063999999992"/>
    <x v="0"/>
    <n v="-0.10000000000000009"/>
    <x v="2"/>
    <n v="9"/>
    <n v="26"/>
  </r>
  <r>
    <n v="2"/>
    <d v="2019-04-29T14:00:00"/>
    <s v="El Higueral Golf White"/>
    <n v="9"/>
    <n v="4"/>
    <n v="-6.0000000000000053E-2"/>
    <m/>
    <n v="92.957130499999991"/>
    <x v="1"/>
    <n v="-0.14000000000000012"/>
    <x v="0"/>
    <n v="93"/>
    <n v="279"/>
  </r>
  <r>
    <n v="1"/>
    <d v="2019-04-29T14:00:00"/>
    <s v="El Higueral Golf White"/>
    <n v="9"/>
    <n v="4"/>
    <n v="-6.0000000000000053E-2"/>
    <m/>
    <n v="354.33070919999994"/>
    <x v="2"/>
    <n v="0.14000000000000012"/>
    <x v="0"/>
    <n v="354"/>
    <n v="1063"/>
  </r>
  <r>
    <n v="4"/>
    <d v="2019-04-29T14:00:00"/>
    <s v="El Higueral Golf White"/>
    <n v="8"/>
    <n v="4"/>
    <n v="4.9999999999998934E-3"/>
    <m/>
    <n v="4.3744531999999996"/>
    <x v="0"/>
    <n v="0.71199999999999997"/>
    <x v="0"/>
    <n v="4"/>
    <n v="13"/>
  </r>
  <r>
    <n v="3"/>
    <d v="2019-04-29T14:00:00"/>
    <s v="El Higueral Golf White"/>
    <n v="8"/>
    <n v="4"/>
    <n v="4.9999999999998934E-3"/>
    <m/>
    <n v="9.8425196999999987"/>
    <x v="0"/>
    <n v="-0.74199999999999999"/>
    <x v="2"/>
    <n v="10"/>
    <n v="30"/>
  </r>
  <r>
    <n v="2"/>
    <d v="2019-04-29T14:00:00"/>
    <s v="El Higueral Golf White"/>
    <n v="8"/>
    <n v="4"/>
    <n v="4.9999999999998934E-3"/>
    <m/>
    <n v="153.10586199999997"/>
    <x v="1"/>
    <n v="1.0000000000000009E-2"/>
    <x v="0"/>
    <n v="153"/>
    <n v="459"/>
  </r>
  <r>
    <n v="1"/>
    <d v="2019-04-29T14:00:00"/>
    <s v="El Higueral Golf White"/>
    <n v="8"/>
    <n v="4"/>
    <n v="4.9999999999998934E-3"/>
    <m/>
    <n v="381.67104169999999"/>
    <x v="2"/>
    <n v="2.4999999999999911E-2"/>
    <x v="0"/>
    <n v="382"/>
    <n v="1145"/>
  </r>
  <r>
    <n v="3"/>
    <d v="2019-04-29T14:00:00"/>
    <s v="El Higueral Golf White"/>
    <n v="7"/>
    <n v="3"/>
    <n v="0.82500000000000018"/>
    <m/>
    <n v="2.1872265999999998"/>
    <x v="0"/>
    <n v="0.34000000000000008"/>
    <x v="0"/>
    <n v="2"/>
    <n v="7"/>
  </r>
  <r>
    <n v="2"/>
    <d v="2019-04-29T14:00:00"/>
    <s v="El Higueral Golf White"/>
    <n v="7"/>
    <n v="3"/>
    <n v="0.82500000000000018"/>
    <m/>
    <n v="63.429571399999993"/>
    <x v="4"/>
    <n v="0.80999999999999983"/>
    <x v="0"/>
    <n v="63"/>
    <n v="190"/>
  </r>
  <r>
    <n v="1"/>
    <d v="2019-04-29T14:00:00"/>
    <s v="El Higueral Golf White"/>
    <n v="7"/>
    <n v="3"/>
    <n v="0.82500000000000018"/>
    <m/>
    <n v="308.39895059999998"/>
    <x v="2"/>
    <n v="-0.32499999999999973"/>
    <x v="0"/>
    <n v="308"/>
    <n v="925"/>
  </r>
  <r>
    <n v="5"/>
    <d v="2019-04-29T14:00:00"/>
    <s v="El Higueral Golf White"/>
    <n v="6"/>
    <n v="5"/>
    <n v="-0.34999999999999964"/>
    <m/>
    <n v="1.0936132999999999"/>
    <x v="0"/>
    <n v="4.0000000000000036E-2"/>
    <x v="0"/>
    <n v="1"/>
    <n v="3"/>
  </r>
  <r>
    <n v="4"/>
    <d v="2019-04-29T14:00:00"/>
    <s v="El Higueral Golf White"/>
    <n v="6"/>
    <n v="5"/>
    <n v="-0.34999999999999964"/>
    <m/>
    <n v="4.3744531999999996"/>
    <x v="0"/>
    <n v="-0.32800000000000007"/>
    <x v="2"/>
    <n v="4"/>
    <n v="13"/>
  </r>
  <r>
    <n v="3"/>
    <d v="2019-04-29T14:00:00"/>
    <s v="El Higueral Golf White"/>
    <n v="6"/>
    <n v="5"/>
    <n v="-0.34999999999999964"/>
    <m/>
    <n v="15.310586199999999"/>
    <x v="1"/>
    <n v="-0.42199999999999993"/>
    <x v="0"/>
    <n v="15"/>
    <n v="46"/>
  </r>
  <r>
    <n v="2"/>
    <d v="2019-04-29T14:00:00"/>
    <s v="El Higueral Golf White"/>
    <n v="6"/>
    <n v="5"/>
    <n v="-0.34999999999999964"/>
    <m/>
    <n v="205.59930039999998"/>
    <x v="1"/>
    <n v="2.9999999999999805E-2"/>
    <x v="0"/>
    <n v="206"/>
    <n v="617"/>
  </r>
  <r>
    <n v="1"/>
    <d v="2019-04-29T14:00:00"/>
    <s v="El Higueral Golf White"/>
    <n v="6"/>
    <n v="5"/>
    <n v="-0.34999999999999964"/>
    <m/>
    <n v="500.87489139999997"/>
    <x v="2"/>
    <n v="0.33000000000000052"/>
    <x v="0"/>
    <n v="501"/>
    <n v="1503"/>
  </r>
  <r>
    <n v="5"/>
    <d v="2019-04-29T14:00:00"/>
    <s v="El Higueral Golf White"/>
    <n v="5"/>
    <n v="5"/>
    <n v="-0.91999999999999993"/>
    <m/>
    <n v="1.0936132999999999"/>
    <x v="0"/>
    <n v="4.0000000000000036E-2"/>
    <x v="0"/>
    <n v="1"/>
    <n v="3"/>
  </r>
  <r>
    <n v="4"/>
    <d v="2019-04-29T14:00:00"/>
    <s v="El Higueral Golf White"/>
    <n v="5"/>
    <n v="5"/>
    <n v="-0.91999999999999993"/>
    <m/>
    <n v="5.4680664999999991"/>
    <x v="0"/>
    <n v="-0.24199999999999999"/>
    <x v="5"/>
    <n v="5"/>
    <n v="16"/>
  </r>
  <r>
    <n v="3"/>
    <d v="2019-04-29T14:00:00"/>
    <s v="El Higueral Golf White"/>
    <n v="5"/>
    <n v="5"/>
    <n v="-0.91999999999999993"/>
    <m/>
    <n v="12.029746299999999"/>
    <x v="1"/>
    <n v="-0.61799999999999988"/>
    <x v="0"/>
    <n v="12"/>
    <n v="36"/>
  </r>
  <r>
    <n v="2"/>
    <d v="2019-04-29T14:00:00"/>
    <s v="El Higueral Golf White"/>
    <n v="5"/>
    <n v="5"/>
    <n v="-0.91999999999999993"/>
    <m/>
    <n v="129.04636939999997"/>
    <x v="1"/>
    <n v="-0.27"/>
    <x v="0"/>
    <n v="129"/>
    <n v="387"/>
  </r>
  <r>
    <n v="1"/>
    <d v="2019-04-29T14:00:00"/>
    <s v="El Higueral Golf White"/>
    <n v="5"/>
    <n v="5"/>
    <n v="-0.91999999999999993"/>
    <m/>
    <n v="413.38582739999998"/>
    <x v="2"/>
    <n v="0.16999999999999993"/>
    <x v="0"/>
    <n v="413"/>
    <n v="1240"/>
  </r>
  <r>
    <n v="5"/>
    <d v="2019-04-29T14:00:00"/>
    <s v="El Higueral Golf White"/>
    <n v="4"/>
    <n v="5"/>
    <n v="-0.20999999999999996"/>
    <m/>
    <n v="6.5616797999999994"/>
    <x v="0"/>
    <n v="0.85200000000000009"/>
    <x v="0"/>
    <n v="7"/>
    <n v="20"/>
  </r>
  <r>
    <n v="4"/>
    <d v="2019-04-29T14:00:00"/>
    <s v="El Higueral Golf White"/>
    <n v="4"/>
    <n v="5"/>
    <n v="-0.20999999999999996"/>
    <m/>
    <n v="18.5914261"/>
    <x v="0"/>
    <n v="-0.68200000000000016"/>
    <x v="8"/>
    <n v="19"/>
    <n v="56"/>
  </r>
  <r>
    <n v="3"/>
    <d v="2019-04-29T14:00:00"/>
    <s v="El Higueral Golf White"/>
    <n v="4"/>
    <n v="5"/>
    <n v="-0.20999999999999996"/>
    <m/>
    <n v="63.429571399999993"/>
    <x v="1"/>
    <n v="-0.46999999999999975"/>
    <x v="0"/>
    <n v="63"/>
    <n v="190"/>
  </r>
  <r>
    <n v="2"/>
    <d v="2019-04-29T14:00:00"/>
    <s v="El Higueral Golf White"/>
    <n v="4"/>
    <n v="5"/>
    <n v="-0.20999999999999996"/>
    <m/>
    <n v="207.78652699999998"/>
    <x v="1"/>
    <n v="-0.38000000000000034"/>
    <x v="0"/>
    <n v="208"/>
    <n v="623"/>
  </r>
  <r>
    <n v="1"/>
    <d v="2019-04-29T14:00:00"/>
    <s v="El Higueral Golf White"/>
    <n v="4"/>
    <n v="5"/>
    <n v="-0.20999999999999996"/>
    <m/>
    <n v="534.77690369999993"/>
    <x v="2"/>
    <n v="0.4700000000000002"/>
    <x v="0"/>
    <n v="535"/>
    <n v="1604"/>
  </r>
  <r>
    <n v="4"/>
    <d v="2019-04-29T14:00:00"/>
    <s v="El Higueral Golf White"/>
    <n v="3"/>
    <n v="4"/>
    <n v="-1.02"/>
    <m/>
    <n v="1.0936132999999999"/>
    <x v="0"/>
    <n v="4.0000000000000036E-2"/>
    <x v="0"/>
    <n v="1"/>
    <n v="3"/>
  </r>
  <r>
    <n v="3"/>
    <d v="2019-04-29T14:00:00"/>
    <s v="El Higueral Golf White"/>
    <n v="3"/>
    <n v="4"/>
    <n v="-1.02"/>
    <m/>
    <n v="3.2808398999999997"/>
    <x v="0"/>
    <n v="-0.48"/>
    <x v="5"/>
    <n v="3"/>
    <n v="10"/>
  </r>
  <r>
    <n v="2"/>
    <d v="2019-04-29T14:00:00"/>
    <s v="El Higueral Golf White"/>
    <n v="3"/>
    <n v="4"/>
    <n v="-1.02"/>
    <m/>
    <n v="12.029746299999999"/>
    <x v="0"/>
    <n v="-0.53200000000000003"/>
    <x v="0"/>
    <n v="12"/>
    <n v="36"/>
  </r>
  <r>
    <n v="1"/>
    <d v="2019-04-29T14:00:00"/>
    <s v="El Higueral Golf White"/>
    <n v="3"/>
    <n v="4"/>
    <n v="-1.02"/>
    <m/>
    <n v="142.16972899999999"/>
    <x v="2"/>
    <n v="-4.8000000000000043E-2"/>
    <x v="0"/>
    <n v="142"/>
    <n v="427"/>
  </r>
  <r>
    <n v="4"/>
    <d v="2019-04-29T14:00:00"/>
    <s v="El Higueral Golf White"/>
    <n v="2"/>
    <n v="4"/>
    <n v="8.0000000000000071E-2"/>
    <m/>
    <n v="1.0936132999999999"/>
    <x v="0"/>
    <n v="4.0000000000000036E-2"/>
    <x v="0"/>
    <n v="1"/>
    <n v="3"/>
  </r>
  <r>
    <n v="3"/>
    <d v="2019-04-29T14:00:00"/>
    <s v="El Higueral Golf White"/>
    <n v="2"/>
    <n v="4"/>
    <n v="8.0000000000000071E-2"/>
    <m/>
    <n v="2.1872265999999998"/>
    <x v="0"/>
    <n v="-0.7"/>
    <x v="2"/>
    <n v="2"/>
    <n v="7"/>
  </r>
  <r>
    <n v="2"/>
    <d v="2019-04-29T14:00:00"/>
    <s v="El Higueral Golf White"/>
    <n v="2"/>
    <n v="4"/>
    <n v="8.0000000000000071E-2"/>
    <m/>
    <n v="131.23359599999998"/>
    <x v="1"/>
    <n v="0.57000000000000006"/>
    <x v="0"/>
    <n v="131"/>
    <n v="394"/>
  </r>
  <r>
    <n v="1"/>
    <d v="2019-04-29T14:00:00"/>
    <s v="El Higueral Golf White"/>
    <n v="2"/>
    <n v="4"/>
    <n v="8.0000000000000071E-2"/>
    <m/>
    <n v="412.29221409999997"/>
    <x v="2"/>
    <n v="0.16999999999999993"/>
    <x v="0"/>
    <n v="412"/>
    <n v="1237"/>
  </r>
  <r>
    <n v="3"/>
    <d v="2019-04-29T14:00:00"/>
    <s v="El Higueral Golf White"/>
    <n v="1"/>
    <n v="3"/>
    <n v="-2.9999999999999805E-2"/>
    <m/>
    <n v="0.33333333333333331"/>
    <x v="0"/>
    <n v="1.0000000000000009E-2"/>
    <x v="0"/>
    <n v="0"/>
    <n v="1"/>
  </r>
  <r>
    <n v="2"/>
    <d v="2019-04-29T14:00:00"/>
    <s v="El Higueral Golf White"/>
    <n v="1"/>
    <n v="3"/>
    <n v="-2.9999999999999805E-2"/>
    <m/>
    <n v="3.2808398999999997"/>
    <x v="0"/>
    <n v="-0.44999999999999996"/>
    <x v="8"/>
    <n v="3"/>
    <n v="1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22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3:B9" firstHeaderRow="1" firstDataRow="1" firstDataCol="1"/>
  <pivotFields count="13">
    <pivotField showAll="0"/>
    <pivotField numFmtId="22" showAll="0"/>
    <pivotField showAll="0"/>
    <pivotField showAll="0"/>
    <pivotField showAll="0"/>
    <pivotField showAll="0"/>
    <pivotField showAll="0"/>
    <pivotField showAll="0"/>
    <pivotField axis="axisRow" dataField="1" showAll="0">
      <items count="7">
        <item h="1" x="4"/>
        <item h="1" x="1"/>
        <item x="0"/>
        <item h="1" x="5"/>
        <item h="1" x="3"/>
        <item h="1" x="2"/>
        <item t="default"/>
      </items>
    </pivotField>
    <pivotField showAll="0"/>
    <pivotField axis="axisRow" showAll="0">
      <items count="33">
        <item h="1" x="0"/>
        <item h="1" x="29"/>
        <item h="1" x="1"/>
        <item h="1" x="13"/>
        <item h="1" x="17"/>
        <item h="1" x="22"/>
        <item h="1" x="4"/>
        <item h="1" x="3"/>
        <item h="1" x="14"/>
        <item h="1" x="12"/>
        <item h="1" x="23"/>
        <item h="1" x="11"/>
        <item h="1" x="10"/>
        <item h="1" x="16"/>
        <item h="1" x="7"/>
        <item h="1" x="28"/>
        <item h="1" x="25"/>
        <item h="1" x="19"/>
        <item h="1" x="24"/>
        <item h="1" x="9"/>
        <item h="1" x="15"/>
        <item h="1" x="20"/>
        <item h="1" x="27"/>
        <item h="1" x="21"/>
        <item h="1" x="31"/>
        <item h="1" x="30"/>
        <item h="1" x="18"/>
        <item h="1" x="26"/>
        <item x="2"/>
        <item x="8"/>
        <item x="5"/>
        <item x="6"/>
        <item t="default"/>
      </items>
    </pivotField>
    <pivotField showAll="0"/>
    <pivotField showAll="0"/>
  </pivotFields>
  <rowFields count="2">
    <field x="8"/>
    <field x="10"/>
  </rowFields>
  <rowItems count="6">
    <i>
      <x v="2"/>
    </i>
    <i r="1">
      <x v="28"/>
    </i>
    <i r="1">
      <x v="29"/>
    </i>
    <i r="1">
      <x v="30"/>
    </i>
    <i r="1">
      <x v="31"/>
    </i>
    <i t="grand">
      <x/>
    </i>
  </rowItems>
  <colItems count="1">
    <i/>
  </colItems>
  <dataFields count="1">
    <dataField name="Count of 1Strokes2" fld="8" subtotal="count" showDataAs="percentOfCol" baseField="0" baseItem="0" numFmtId="1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2" cacheId="22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3:B144" firstHeaderRow="1" firstDataRow="1" firstDataCol="1"/>
  <pivotFields count="13">
    <pivotField showAll="0"/>
    <pivotField axis="axisRow" numFmtId="22" showAll="0">
      <items count="10">
        <item x="8"/>
        <item x="7"/>
        <item x="6"/>
        <item x="5"/>
        <item x="4"/>
        <item x="3"/>
        <item x="2"/>
        <item x="1"/>
        <item x="0"/>
        <item t="default"/>
      </items>
    </pivotField>
    <pivotField axis="axisRow" showAll="0">
      <items count="7">
        <item x="0"/>
        <item x="5"/>
        <item x="4"/>
        <item x="1"/>
        <item x="2"/>
        <item x="3"/>
        <item t="default"/>
      </items>
    </pivotField>
    <pivotField axis="axisRow" showAll="0">
      <items count="19"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</pivotFields>
  <rowFields count="3">
    <field x="1"/>
    <field x="2"/>
    <field x="3"/>
  </rowFields>
  <rowItems count="141">
    <i>
      <x/>
    </i>
    <i r="1">
      <x v="1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>
      <x v="1"/>
    </i>
    <i r="1">
      <x v="2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>
      <x v="2"/>
    </i>
    <i r="1">
      <x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>
      <x v="3"/>
    </i>
    <i r="1">
      <x v="5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>
      <x v="4"/>
    </i>
    <i r="1">
      <x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>
      <x v="5"/>
    </i>
    <i r="1">
      <x v="4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>
      <x v="6"/>
    </i>
    <i r="1">
      <x v="3"/>
    </i>
    <i r="2">
      <x v="11"/>
    </i>
    <i r="2">
      <x v="12"/>
    </i>
    <i r="2">
      <x v="13"/>
    </i>
    <i r="2">
      <x v="14"/>
    </i>
    <i r="2">
      <x v="15"/>
    </i>
    <i>
      <x v="7"/>
    </i>
    <i r="1">
      <x v="3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>
      <x v="8"/>
    </i>
    <i r="1">
      <x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t="grand">
      <x/>
    </i>
  </rowItems>
  <colItems count="1">
    <i/>
  </colItems>
  <dataFields count="1">
    <dataField name="SG Sum per Round" fld="9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2" cacheId="21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4:B246" firstHeaderRow="1" firstDataRow="1" firstDataCol="1" rowPageCount="2" colPageCount="1"/>
  <pivotFields count="13">
    <pivotField showAll="0"/>
    <pivotField axis="axisPage" numFmtId="22" showAll="0">
      <items count="10">
        <item x="8"/>
        <item x="7"/>
        <item x="6"/>
        <item x="5"/>
        <item x="4"/>
        <item x="3"/>
        <item x="2"/>
        <item x="1"/>
        <item x="0"/>
        <item t="default"/>
      </items>
    </pivotField>
    <pivotField axis="axisPage" showAll="0">
      <items count="7">
        <item x="0"/>
        <item x="5"/>
        <item x="4"/>
        <item x="1"/>
        <item x="2"/>
        <item x="3"/>
        <item t="default"/>
      </items>
    </pivotField>
    <pivotField showAll="0"/>
    <pivotField showAll="0"/>
    <pivotField showAll="0"/>
    <pivotField showAll="0"/>
    <pivotField showAll="0"/>
    <pivotField axis="axisRow" showAll="0">
      <items count="7">
        <item x="4"/>
        <item x="1"/>
        <item x="0"/>
        <item x="5"/>
        <item x="3"/>
        <item x="2"/>
        <item t="default"/>
      </items>
    </pivotField>
    <pivotField dataField="1" showAll="0"/>
    <pivotField showAll="0"/>
    <pivotField axis="axisRow" showAll="0">
      <items count="179">
        <item x="3"/>
        <item x="10"/>
        <item x="0"/>
        <item x="45"/>
        <item x="36"/>
        <item x="38"/>
        <item x="8"/>
        <item x="4"/>
        <item x="50"/>
        <item x="31"/>
        <item x="106"/>
        <item x="22"/>
        <item x="19"/>
        <item x="62"/>
        <item x="11"/>
        <item x="24"/>
        <item x="130"/>
        <item x="112"/>
        <item x="92"/>
        <item x="66"/>
        <item x="16"/>
        <item x="51"/>
        <item x="27"/>
        <item x="86"/>
        <item x="98"/>
        <item x="43"/>
        <item x="147"/>
        <item x="120"/>
        <item x="84"/>
        <item x="75"/>
        <item x="116"/>
        <item x="39"/>
        <item x="110"/>
        <item x="142"/>
        <item x="132"/>
        <item x="58"/>
        <item x="54"/>
        <item x="155"/>
        <item x="153"/>
        <item x="164"/>
        <item x="126"/>
        <item x="156"/>
        <item x="72"/>
        <item x="162"/>
        <item x="89"/>
        <item x="5"/>
        <item x="104"/>
        <item x="170"/>
        <item x="101"/>
        <item x="150"/>
        <item x="67"/>
        <item x="145"/>
        <item x="111"/>
        <item x="128"/>
        <item x="122"/>
        <item x="113"/>
        <item x="158"/>
        <item x="46"/>
        <item x="1"/>
        <item x="135"/>
        <item x="103"/>
        <item x="52"/>
        <item x="136"/>
        <item x="63"/>
        <item x="28"/>
        <item x="14"/>
        <item x="69"/>
        <item x="82"/>
        <item x="99"/>
        <item x="166"/>
        <item x="149"/>
        <item x="108"/>
        <item x="32"/>
        <item x="20"/>
        <item x="25"/>
        <item x="94"/>
        <item x="87"/>
        <item x="81"/>
        <item x="48"/>
        <item x="79"/>
        <item x="33"/>
        <item x="90"/>
        <item x="123"/>
        <item x="56"/>
        <item x="119"/>
        <item x="124"/>
        <item x="85"/>
        <item x="9"/>
        <item x="17"/>
        <item x="23"/>
        <item x="83"/>
        <item x="61"/>
        <item x="138"/>
        <item x="12"/>
        <item x="109"/>
        <item x="140"/>
        <item x="160"/>
        <item x="77"/>
        <item x="115"/>
        <item x="93"/>
        <item x="42"/>
        <item x="152"/>
        <item x="143"/>
        <item x="148"/>
        <item x="107"/>
        <item x="105"/>
        <item x="6"/>
        <item x="117"/>
        <item x="29"/>
        <item x="114"/>
        <item x="76"/>
        <item x="151"/>
        <item x="40"/>
        <item x="96"/>
        <item x="133"/>
        <item x="44"/>
        <item x="173"/>
        <item x="73"/>
        <item x="165"/>
        <item x="68"/>
        <item x="121"/>
        <item x="59"/>
        <item x="74"/>
        <item x="157"/>
        <item x="37"/>
        <item x="53"/>
        <item x="64"/>
        <item x="129"/>
        <item x="171"/>
        <item x="49"/>
        <item x="146"/>
        <item x="35"/>
        <item x="168"/>
        <item x="172"/>
        <item x="137"/>
        <item x="15"/>
        <item x="80"/>
        <item x="55"/>
        <item x="18"/>
        <item x="71"/>
        <item x="125"/>
        <item x="159"/>
        <item x="2"/>
        <item x="100"/>
        <item x="169"/>
        <item x="177"/>
        <item x="175"/>
        <item x="47"/>
        <item x="139"/>
        <item x="102"/>
        <item x="21"/>
        <item x="91"/>
        <item x="161"/>
        <item x="131"/>
        <item x="144"/>
        <item x="95"/>
        <item x="57"/>
        <item x="167"/>
        <item x="34"/>
        <item x="154"/>
        <item x="26"/>
        <item x="163"/>
        <item x="174"/>
        <item x="13"/>
        <item x="70"/>
        <item x="78"/>
        <item x="30"/>
        <item x="176"/>
        <item x="60"/>
        <item x="134"/>
        <item x="7"/>
        <item x="97"/>
        <item x="141"/>
        <item x="118"/>
        <item x="88"/>
        <item x="127"/>
        <item x="41"/>
        <item x="65"/>
        <item t="default"/>
      </items>
    </pivotField>
    <pivotField showAll="0"/>
  </pivotFields>
  <rowFields count="2">
    <field x="8"/>
    <field x="11"/>
  </rowFields>
  <rowItems count="242">
    <i>
      <x/>
    </i>
    <i r="1">
      <x v="14"/>
    </i>
    <i r="1">
      <x v="19"/>
    </i>
    <i r="1">
      <x v="20"/>
    </i>
    <i r="1">
      <x v="23"/>
    </i>
    <i r="1">
      <x v="26"/>
    </i>
    <i r="1">
      <x v="34"/>
    </i>
    <i r="1">
      <x v="36"/>
    </i>
    <i r="1">
      <x v="41"/>
    </i>
    <i r="1">
      <x v="43"/>
    </i>
    <i r="1">
      <x v="80"/>
    </i>
    <i>
      <x v="1"/>
    </i>
    <i r="1">
      <x v="7"/>
    </i>
    <i r="1">
      <x v="8"/>
    </i>
    <i r="1">
      <x v="10"/>
    </i>
    <i r="1">
      <x v="11"/>
    </i>
    <i r="1">
      <x v="12"/>
    </i>
    <i r="1">
      <x v="13"/>
    </i>
    <i r="1">
      <x v="14"/>
    </i>
    <i r="1">
      <x v="16"/>
    </i>
    <i r="1">
      <x v="17"/>
    </i>
    <i r="1">
      <x v="20"/>
    </i>
    <i r="1">
      <x v="22"/>
    </i>
    <i r="1">
      <x v="32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2"/>
    </i>
    <i r="1">
      <x v="43"/>
    </i>
    <i r="1">
      <x v="44"/>
    </i>
    <i r="1">
      <x v="46"/>
    </i>
    <i r="1">
      <x v="47"/>
    </i>
    <i r="1">
      <x v="48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5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 r="1">
      <x v="78"/>
    </i>
    <i r="1">
      <x v="79"/>
    </i>
    <i r="1">
      <x v="80"/>
    </i>
    <i r="1">
      <x v="83"/>
    </i>
    <i r="1">
      <x v="84"/>
    </i>
    <i r="1">
      <x v="85"/>
    </i>
    <i r="1">
      <x v="88"/>
    </i>
    <i r="1">
      <x v="90"/>
    </i>
    <i r="1">
      <x v="92"/>
    </i>
    <i r="1">
      <x v="93"/>
    </i>
    <i r="1">
      <x v="94"/>
    </i>
    <i r="1">
      <x v="95"/>
    </i>
    <i r="1">
      <x v="96"/>
    </i>
    <i r="1">
      <x v="97"/>
    </i>
    <i r="1">
      <x v="103"/>
    </i>
    <i r="1">
      <x v="104"/>
    </i>
    <i r="1">
      <x v="105"/>
    </i>
    <i r="1">
      <x v="107"/>
    </i>
    <i r="1">
      <x v="109"/>
    </i>
    <i r="1">
      <x v="111"/>
    </i>
    <i r="1">
      <x v="112"/>
    </i>
    <i r="1">
      <x v="114"/>
    </i>
    <i r="1">
      <x v="118"/>
    </i>
    <i r="1">
      <x v="121"/>
    </i>
    <i r="1">
      <x v="126"/>
    </i>
    <i r="1">
      <x v="131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6"/>
    </i>
    <i r="1">
      <x v="17"/>
    </i>
    <i r="1">
      <x v="19"/>
    </i>
    <i r="1">
      <x v="21"/>
    </i>
    <i>
      <x v="3"/>
    </i>
    <i r="1">
      <x v="29"/>
    </i>
    <i r="1">
      <x v="35"/>
    </i>
    <i r="1">
      <x v="49"/>
    </i>
    <i r="1">
      <x v="62"/>
    </i>
    <i r="1">
      <x v="67"/>
    </i>
    <i r="1">
      <x v="81"/>
    </i>
    <i r="1">
      <x v="93"/>
    </i>
    <i r="1">
      <x v="95"/>
    </i>
    <i r="1">
      <x v="102"/>
    </i>
    <i r="1">
      <x v="112"/>
    </i>
    <i r="1">
      <x v="121"/>
    </i>
    <i>
      <x v="4"/>
    </i>
    <i r="1">
      <x v="12"/>
    </i>
    <i r="1">
      <x v="13"/>
    </i>
    <i r="1">
      <x v="14"/>
    </i>
    <i r="1">
      <x v="15"/>
    </i>
    <i r="1">
      <x v="17"/>
    </i>
    <i r="1">
      <x v="18"/>
    </i>
    <i r="1">
      <x v="19"/>
    </i>
    <i r="1">
      <x v="20"/>
    </i>
    <i r="1">
      <x v="22"/>
    </i>
    <i r="1">
      <x v="23"/>
    </i>
    <i r="1">
      <x v="24"/>
    </i>
    <i r="1">
      <x v="25"/>
    </i>
    <i r="1">
      <x v="27"/>
    </i>
    <i r="1">
      <x v="28"/>
    </i>
    <i r="1">
      <x v="30"/>
    </i>
    <i r="1">
      <x v="31"/>
    </i>
    <i r="1">
      <x v="32"/>
    </i>
    <i r="1">
      <x v="33"/>
    </i>
    <i r="1">
      <x v="34"/>
    </i>
    <i r="1">
      <x v="45"/>
    </i>
    <i r="1">
      <x v="49"/>
    </i>
    <i r="1">
      <x v="50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8"/>
    </i>
    <i r="1">
      <x v="71"/>
    </i>
    <i r="1">
      <x v="73"/>
    </i>
    <i r="1">
      <x v="76"/>
    </i>
    <i r="1">
      <x v="77"/>
    </i>
    <i r="1">
      <x v="94"/>
    </i>
    <i r="1">
      <x v="106"/>
    </i>
    <i r="1">
      <x v="108"/>
    </i>
    <i r="1">
      <x v="113"/>
    </i>
    <i r="1">
      <x v="121"/>
    </i>
    <i>
      <x v="5"/>
    </i>
    <i r="1">
      <x v="61"/>
    </i>
    <i r="1">
      <x v="66"/>
    </i>
    <i r="1">
      <x v="69"/>
    </i>
    <i r="1">
      <x v="72"/>
    </i>
    <i r="1">
      <x v="73"/>
    </i>
    <i r="1">
      <x v="76"/>
    </i>
    <i r="1">
      <x v="78"/>
    </i>
    <i r="1">
      <x v="79"/>
    </i>
    <i r="1">
      <x v="80"/>
    </i>
    <i r="1">
      <x v="82"/>
    </i>
    <i r="1">
      <x v="84"/>
    </i>
    <i r="1">
      <x v="86"/>
    </i>
    <i r="1">
      <x v="87"/>
    </i>
    <i r="1">
      <x v="88"/>
    </i>
    <i r="1">
      <x v="89"/>
    </i>
    <i r="1">
      <x v="90"/>
    </i>
    <i r="1">
      <x v="91"/>
    </i>
    <i r="1">
      <x v="96"/>
    </i>
    <i r="1">
      <x v="98"/>
    </i>
    <i r="1">
      <x v="99"/>
    </i>
    <i r="1">
      <x v="100"/>
    </i>
    <i r="1">
      <x v="101"/>
    </i>
    <i r="1">
      <x v="110"/>
    </i>
    <i r="1">
      <x v="115"/>
    </i>
    <i r="1">
      <x v="116"/>
    </i>
    <i r="1">
      <x v="117"/>
    </i>
    <i r="1">
      <x v="119"/>
    </i>
    <i r="1">
      <x v="120"/>
    </i>
    <i r="1">
      <x v="122"/>
    </i>
    <i r="1">
      <x v="123"/>
    </i>
    <i r="1">
      <x v="124"/>
    </i>
    <i r="1">
      <x v="125"/>
    </i>
    <i r="1">
      <x v="126"/>
    </i>
    <i r="1">
      <x v="127"/>
    </i>
    <i r="1">
      <x v="128"/>
    </i>
    <i r="1">
      <x v="129"/>
    </i>
    <i r="1">
      <x v="130"/>
    </i>
    <i r="1">
      <x v="131"/>
    </i>
    <i r="1">
      <x v="132"/>
    </i>
    <i r="1">
      <x v="133"/>
    </i>
    <i r="1">
      <x v="134"/>
    </i>
    <i r="1">
      <x v="135"/>
    </i>
    <i r="1">
      <x v="136"/>
    </i>
    <i r="1">
      <x v="137"/>
    </i>
    <i r="1">
      <x v="138"/>
    </i>
    <i r="1">
      <x v="139"/>
    </i>
    <i r="1">
      <x v="140"/>
    </i>
    <i r="1">
      <x v="141"/>
    </i>
    <i r="1">
      <x v="142"/>
    </i>
    <i r="1">
      <x v="143"/>
    </i>
    <i r="1">
      <x v="144"/>
    </i>
    <i r="1">
      <x v="145"/>
    </i>
    <i r="1">
      <x v="146"/>
    </i>
    <i r="1">
      <x v="147"/>
    </i>
    <i r="1">
      <x v="148"/>
    </i>
    <i r="1">
      <x v="149"/>
    </i>
    <i r="1">
      <x v="150"/>
    </i>
    <i r="1">
      <x v="151"/>
    </i>
    <i r="1">
      <x v="152"/>
    </i>
    <i r="1">
      <x v="153"/>
    </i>
    <i r="1">
      <x v="154"/>
    </i>
    <i r="1">
      <x v="155"/>
    </i>
    <i r="1">
      <x v="156"/>
    </i>
    <i r="1">
      <x v="157"/>
    </i>
    <i r="1">
      <x v="158"/>
    </i>
    <i r="1">
      <x v="159"/>
    </i>
    <i r="1">
      <x v="160"/>
    </i>
    <i r="1">
      <x v="161"/>
    </i>
    <i r="1">
      <x v="162"/>
    </i>
    <i r="1">
      <x v="163"/>
    </i>
    <i r="1">
      <x v="164"/>
    </i>
    <i r="1">
      <x v="165"/>
    </i>
    <i r="1">
      <x v="166"/>
    </i>
    <i r="1">
      <x v="167"/>
    </i>
    <i r="1">
      <x v="168"/>
    </i>
    <i r="1">
      <x v="169"/>
    </i>
    <i r="1">
      <x v="170"/>
    </i>
    <i r="1">
      <x v="171"/>
    </i>
    <i r="1">
      <x v="172"/>
    </i>
    <i r="1">
      <x v="173"/>
    </i>
    <i r="1">
      <x v="174"/>
    </i>
    <i r="1">
      <x v="175"/>
    </i>
    <i r="1">
      <x v="176"/>
    </i>
    <i r="1">
      <x v="177"/>
    </i>
    <i t="grand">
      <x/>
    </i>
  </rowItems>
  <colItems count="1">
    <i/>
  </colItems>
  <pageFields count="2">
    <pageField fld="1" hier="-1"/>
    <pageField fld="2" hier="-1"/>
  </pageFields>
  <dataFields count="1">
    <dataField name="SG Average" fld="9" subtotal="average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B9"/>
  <sheetViews>
    <sheetView workbookViewId="0">
      <selection activeCell="A3" sqref="A3"/>
    </sheetView>
  </sheetViews>
  <sheetFormatPr defaultRowHeight="14.4" x14ac:dyDescent="0.3"/>
  <cols>
    <col min="1" max="1" width="12.5546875" customWidth="1"/>
    <col min="2" max="2" width="17.21875" bestFit="1" customWidth="1"/>
  </cols>
  <sheetData>
    <row r="3" spans="1:2" x14ac:dyDescent="0.3">
      <c r="A3" s="19" t="s">
        <v>90</v>
      </c>
      <c r="B3" t="s">
        <v>112</v>
      </c>
    </row>
    <row r="4" spans="1:2" x14ac:dyDescent="0.3">
      <c r="A4" s="20" t="s">
        <v>50</v>
      </c>
      <c r="B4" s="26">
        <v>1</v>
      </c>
    </row>
    <row r="5" spans="1:2" x14ac:dyDescent="0.3">
      <c r="A5" s="21" t="s">
        <v>111</v>
      </c>
      <c r="B5" s="26">
        <v>0.17894736842105263</v>
      </c>
    </row>
    <row r="6" spans="1:2" x14ac:dyDescent="0.3">
      <c r="A6" s="21" t="s">
        <v>115</v>
      </c>
      <c r="B6" s="26">
        <v>0.35789473684210527</v>
      </c>
    </row>
    <row r="7" spans="1:2" x14ac:dyDescent="0.3">
      <c r="A7" s="21" t="s">
        <v>113</v>
      </c>
      <c r="B7" s="26">
        <v>0.23157894736842105</v>
      </c>
    </row>
    <row r="8" spans="1:2" x14ac:dyDescent="0.3">
      <c r="A8" s="21" t="s">
        <v>114</v>
      </c>
      <c r="B8" s="26">
        <v>0.23157894736842105</v>
      </c>
    </row>
    <row r="9" spans="1:2" x14ac:dyDescent="0.3">
      <c r="A9" s="20" t="s">
        <v>91</v>
      </c>
      <c r="B9" s="26">
        <v>1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B144"/>
  <sheetViews>
    <sheetView workbookViewId="0">
      <selection activeCell="A3" sqref="A3"/>
    </sheetView>
  </sheetViews>
  <sheetFormatPr defaultRowHeight="14.4" x14ac:dyDescent="0.3"/>
  <cols>
    <col min="1" max="1" width="24.5546875" bestFit="1" customWidth="1"/>
    <col min="2" max="2" width="16.77734375" bestFit="1" customWidth="1"/>
  </cols>
  <sheetData>
    <row r="3" spans="1:2" x14ac:dyDescent="0.3">
      <c r="A3" s="19" t="s">
        <v>90</v>
      </c>
      <c r="B3" t="s">
        <v>97</v>
      </c>
    </row>
    <row r="4" spans="1:2" x14ac:dyDescent="0.3">
      <c r="A4" s="24">
        <v>43584.583333333336</v>
      </c>
      <c r="B4" s="22">
        <v>-2.0899999999999994</v>
      </c>
    </row>
    <row r="5" spans="1:2" x14ac:dyDescent="0.3">
      <c r="A5" s="21" t="s">
        <v>54</v>
      </c>
      <c r="B5" s="22">
        <v>-2.0899999999999994</v>
      </c>
    </row>
    <row r="6" spans="1:2" x14ac:dyDescent="0.3">
      <c r="A6" s="27">
        <v>1</v>
      </c>
      <c r="B6" s="22">
        <v>-0.43999999999999995</v>
      </c>
    </row>
    <row r="7" spans="1:2" x14ac:dyDescent="0.3">
      <c r="A7" s="27">
        <v>2</v>
      </c>
      <c r="B7" s="22">
        <v>8.0000000000000071E-2</v>
      </c>
    </row>
    <row r="8" spans="1:2" x14ac:dyDescent="0.3">
      <c r="A8" s="27">
        <v>3</v>
      </c>
      <c r="B8" s="22">
        <v>-1.02</v>
      </c>
    </row>
    <row r="9" spans="1:2" x14ac:dyDescent="0.3">
      <c r="A9" s="27">
        <v>4</v>
      </c>
      <c r="B9" s="22">
        <v>-0.20999999999999996</v>
      </c>
    </row>
    <row r="10" spans="1:2" x14ac:dyDescent="0.3">
      <c r="A10" s="27">
        <v>5</v>
      </c>
      <c r="B10" s="22">
        <v>-0.91999999999999993</v>
      </c>
    </row>
    <row r="11" spans="1:2" x14ac:dyDescent="0.3">
      <c r="A11" s="27">
        <v>6</v>
      </c>
      <c r="B11" s="22">
        <v>-0.34999999999999964</v>
      </c>
    </row>
    <row r="12" spans="1:2" x14ac:dyDescent="0.3">
      <c r="A12" s="27">
        <v>7</v>
      </c>
      <c r="B12" s="22">
        <v>0.82500000000000018</v>
      </c>
    </row>
    <row r="13" spans="1:2" x14ac:dyDescent="0.3">
      <c r="A13" s="27">
        <v>8</v>
      </c>
      <c r="B13" s="22">
        <v>4.9999999999998934E-3</v>
      </c>
    </row>
    <row r="14" spans="1:2" x14ac:dyDescent="0.3">
      <c r="A14" s="27">
        <v>9</v>
      </c>
      <c r="B14" s="22">
        <v>-6.0000000000000053E-2</v>
      </c>
    </row>
    <row r="15" spans="1:2" x14ac:dyDescent="0.3">
      <c r="A15" s="24">
        <v>43588.5</v>
      </c>
      <c r="B15" s="22">
        <v>0.73049999999999926</v>
      </c>
    </row>
    <row r="16" spans="1:2" x14ac:dyDescent="0.3">
      <c r="A16" s="21" t="s">
        <v>55</v>
      </c>
      <c r="B16" s="22">
        <v>0.73049999999999926</v>
      </c>
    </row>
    <row r="17" spans="1:2" x14ac:dyDescent="0.3">
      <c r="A17" s="27">
        <v>1</v>
      </c>
      <c r="B17" s="22">
        <v>8.0000000000000071E-2</v>
      </c>
    </row>
    <row r="18" spans="1:2" x14ac:dyDescent="0.3">
      <c r="A18" s="27">
        <v>2</v>
      </c>
      <c r="B18" s="22">
        <v>0.12000000000000011</v>
      </c>
    </row>
    <row r="19" spans="1:2" x14ac:dyDescent="0.3">
      <c r="A19" s="27">
        <v>3</v>
      </c>
      <c r="B19" s="22">
        <v>4.9999999999998934E-3</v>
      </c>
    </row>
    <row r="20" spans="1:2" x14ac:dyDescent="0.3">
      <c r="A20" s="27">
        <v>4</v>
      </c>
      <c r="B20" s="22">
        <v>-0.65500000000000025</v>
      </c>
    </row>
    <row r="21" spans="1:2" x14ac:dyDescent="0.3">
      <c r="A21" s="27">
        <v>5</v>
      </c>
      <c r="B21" s="22">
        <v>8.3000000000000185E-2</v>
      </c>
    </row>
    <row r="22" spans="1:2" x14ac:dyDescent="0.3">
      <c r="A22" s="27">
        <v>6</v>
      </c>
      <c r="B22" s="22">
        <v>-0.17999999999999972</v>
      </c>
    </row>
    <row r="23" spans="1:2" x14ac:dyDescent="0.3">
      <c r="A23" s="27">
        <v>7</v>
      </c>
      <c r="B23" s="22">
        <v>0.59750000000000014</v>
      </c>
    </row>
    <row r="24" spans="1:2" x14ac:dyDescent="0.3">
      <c r="A24" s="27">
        <v>8</v>
      </c>
      <c r="B24" s="22">
        <v>-0.77500000000000036</v>
      </c>
    </row>
    <row r="25" spans="1:2" x14ac:dyDescent="0.3">
      <c r="A25" s="27">
        <v>9</v>
      </c>
      <c r="B25" s="22">
        <v>0.16999999999999993</v>
      </c>
    </row>
    <row r="26" spans="1:2" x14ac:dyDescent="0.3">
      <c r="A26" s="27">
        <v>10</v>
      </c>
      <c r="B26" s="22">
        <v>8.0000000000000071E-2</v>
      </c>
    </row>
    <row r="27" spans="1:2" x14ac:dyDescent="0.3">
      <c r="A27" s="27">
        <v>11</v>
      </c>
      <c r="B27" s="22">
        <v>4.9999999999999822E-2</v>
      </c>
    </row>
    <row r="28" spans="1:2" x14ac:dyDescent="0.3">
      <c r="A28" s="27">
        <v>12</v>
      </c>
      <c r="B28" s="22">
        <v>0.82500000000000018</v>
      </c>
    </row>
    <row r="29" spans="1:2" x14ac:dyDescent="0.3">
      <c r="A29" s="27">
        <v>13</v>
      </c>
      <c r="B29" s="22">
        <v>-8.0000000000000071E-2</v>
      </c>
    </row>
    <row r="30" spans="1:2" x14ac:dyDescent="0.3">
      <c r="A30" s="27">
        <v>14</v>
      </c>
      <c r="B30" s="22">
        <v>4.9999999999999822E-2</v>
      </c>
    </row>
    <row r="31" spans="1:2" x14ac:dyDescent="0.3">
      <c r="A31" s="27">
        <v>15</v>
      </c>
      <c r="B31" s="22">
        <v>-6.0000000000000053E-2</v>
      </c>
    </row>
    <row r="32" spans="1:2" x14ac:dyDescent="0.3">
      <c r="A32" s="27">
        <v>16</v>
      </c>
      <c r="B32" s="22">
        <v>-6.0000000000000053E-2</v>
      </c>
    </row>
    <row r="33" spans="1:2" x14ac:dyDescent="0.3">
      <c r="A33" s="27">
        <v>17</v>
      </c>
      <c r="B33" s="22">
        <v>0.47499999999999964</v>
      </c>
    </row>
    <row r="34" spans="1:2" x14ac:dyDescent="0.3">
      <c r="A34" s="27">
        <v>18</v>
      </c>
      <c r="B34" s="22">
        <v>4.9999999999998934E-3</v>
      </c>
    </row>
    <row r="35" spans="1:2" x14ac:dyDescent="0.3">
      <c r="A35" s="24">
        <v>43609.5</v>
      </c>
      <c r="B35" s="22">
        <v>3.6000000000000476E-2</v>
      </c>
    </row>
    <row r="36" spans="1:2" x14ac:dyDescent="0.3">
      <c r="A36" s="21" t="s">
        <v>93</v>
      </c>
      <c r="B36" s="22">
        <v>3.6000000000000476E-2</v>
      </c>
    </row>
    <row r="37" spans="1:2" x14ac:dyDescent="0.3">
      <c r="A37" s="27">
        <v>1</v>
      </c>
      <c r="B37" s="22">
        <v>8.0000000000000071E-2</v>
      </c>
    </row>
    <row r="38" spans="1:2" x14ac:dyDescent="0.3">
      <c r="A38" s="27">
        <v>2</v>
      </c>
      <c r="B38" s="22">
        <v>0.81099999999999994</v>
      </c>
    </row>
    <row r="39" spans="1:2" x14ac:dyDescent="0.3">
      <c r="A39" s="27">
        <v>3</v>
      </c>
      <c r="B39" s="22">
        <v>-0.79</v>
      </c>
    </row>
    <row r="40" spans="1:2" x14ac:dyDescent="0.3">
      <c r="A40" s="27">
        <v>4</v>
      </c>
      <c r="B40" s="22">
        <v>-0.17999999999999972</v>
      </c>
    </row>
    <row r="41" spans="1:2" x14ac:dyDescent="0.3">
      <c r="A41" s="27">
        <v>5</v>
      </c>
      <c r="B41" s="22">
        <v>-8.0000000000000071E-2</v>
      </c>
    </row>
    <row r="42" spans="1:2" x14ac:dyDescent="0.3">
      <c r="A42" s="27">
        <v>6</v>
      </c>
      <c r="B42" s="22">
        <v>4.9999999999998934E-3</v>
      </c>
    </row>
    <row r="43" spans="1:2" x14ac:dyDescent="0.3">
      <c r="A43" s="27">
        <v>7</v>
      </c>
      <c r="B43" s="22">
        <v>0.41000000000000014</v>
      </c>
    </row>
    <row r="44" spans="1:2" x14ac:dyDescent="0.3">
      <c r="A44" s="27">
        <v>8</v>
      </c>
      <c r="B44" s="22">
        <v>-9.9999999999997868E-3</v>
      </c>
    </row>
    <row r="45" spans="1:2" x14ac:dyDescent="0.3">
      <c r="A45" s="27">
        <v>9</v>
      </c>
      <c r="B45" s="22">
        <v>-0.20999999999999996</v>
      </c>
    </row>
    <row r="46" spans="1:2" x14ac:dyDescent="0.3">
      <c r="A46" s="24">
        <v>43610.5</v>
      </c>
      <c r="B46" s="22">
        <v>-7.9199999999999973</v>
      </c>
    </row>
    <row r="47" spans="1:2" x14ac:dyDescent="0.3">
      <c r="A47" s="21" t="s">
        <v>63</v>
      </c>
      <c r="B47" s="22">
        <v>-7.9199999999999973</v>
      </c>
    </row>
    <row r="48" spans="1:2" x14ac:dyDescent="0.3">
      <c r="A48" s="27">
        <v>1</v>
      </c>
      <c r="B48" s="22">
        <v>-2.4999999999999911E-2</v>
      </c>
    </row>
    <row r="49" spans="1:2" x14ac:dyDescent="0.3">
      <c r="A49" s="27">
        <v>2</v>
      </c>
      <c r="B49" s="22">
        <v>-1.7199999999999998</v>
      </c>
    </row>
    <row r="50" spans="1:2" x14ac:dyDescent="0.3">
      <c r="A50" s="27">
        <v>3</v>
      </c>
      <c r="B50" s="22">
        <v>-1.1799999999999997</v>
      </c>
    </row>
    <row r="51" spans="1:2" x14ac:dyDescent="0.3">
      <c r="A51" s="27">
        <v>4</v>
      </c>
      <c r="B51" s="22">
        <v>0.16999999999999993</v>
      </c>
    </row>
    <row r="52" spans="1:2" x14ac:dyDescent="0.3">
      <c r="A52" s="27">
        <v>5</v>
      </c>
      <c r="B52" s="22">
        <v>-0.87999999999999989</v>
      </c>
    </row>
    <row r="53" spans="1:2" x14ac:dyDescent="0.3">
      <c r="A53" s="27">
        <v>6</v>
      </c>
      <c r="B53" s="22">
        <v>-0.99500000000000011</v>
      </c>
    </row>
    <row r="54" spans="1:2" x14ac:dyDescent="0.3">
      <c r="A54" s="27">
        <v>7</v>
      </c>
      <c r="B54" s="22">
        <v>8.0000000000000071E-2</v>
      </c>
    </row>
    <row r="55" spans="1:2" x14ac:dyDescent="0.3">
      <c r="A55" s="27">
        <v>8</v>
      </c>
      <c r="B55" s="22">
        <v>-9.9999999999997868E-3</v>
      </c>
    </row>
    <row r="56" spans="1:2" x14ac:dyDescent="0.3">
      <c r="A56" s="27">
        <v>9</v>
      </c>
      <c r="B56" s="22">
        <v>-1.21</v>
      </c>
    </row>
    <row r="57" spans="1:2" x14ac:dyDescent="0.3">
      <c r="A57" s="27">
        <v>10</v>
      </c>
      <c r="B57" s="22">
        <v>0.22499999999999964</v>
      </c>
    </row>
    <row r="58" spans="1:2" x14ac:dyDescent="0.3">
      <c r="A58" s="27">
        <v>11</v>
      </c>
      <c r="B58" s="22">
        <v>-6.0000000000000053E-2</v>
      </c>
    </row>
    <row r="59" spans="1:2" x14ac:dyDescent="0.3">
      <c r="A59" s="27">
        <v>12</v>
      </c>
      <c r="B59" s="22">
        <v>-2.1799999999999997</v>
      </c>
    </row>
    <row r="60" spans="1:2" x14ac:dyDescent="0.3">
      <c r="A60" s="27">
        <v>13</v>
      </c>
      <c r="B60" s="22">
        <v>-0.91999999999999993</v>
      </c>
    </row>
    <row r="61" spans="1:2" x14ac:dyDescent="0.3">
      <c r="A61" s="27">
        <v>14</v>
      </c>
      <c r="B61" s="22">
        <v>4.9999999999999822E-2</v>
      </c>
    </row>
    <row r="62" spans="1:2" x14ac:dyDescent="0.3">
      <c r="A62" s="27">
        <v>15</v>
      </c>
      <c r="B62" s="22">
        <v>-6.0000000000000053E-2</v>
      </c>
    </row>
    <row r="63" spans="1:2" x14ac:dyDescent="0.3">
      <c r="A63" s="27">
        <v>16</v>
      </c>
      <c r="B63" s="22">
        <v>0.89000000000000012</v>
      </c>
    </row>
    <row r="64" spans="1:2" x14ac:dyDescent="0.3">
      <c r="A64" s="27">
        <v>17</v>
      </c>
      <c r="B64" s="22">
        <v>8.4999999999999964E-2</v>
      </c>
    </row>
    <row r="65" spans="1:2" x14ac:dyDescent="0.3">
      <c r="A65" s="27">
        <v>18</v>
      </c>
      <c r="B65" s="22">
        <v>-0.17999999999999972</v>
      </c>
    </row>
    <row r="66" spans="1:2" x14ac:dyDescent="0.3">
      <c r="A66" s="24">
        <v>43615.666666666664</v>
      </c>
      <c r="B66" s="22">
        <v>-7.3210000000000006</v>
      </c>
    </row>
    <row r="67" spans="1:2" x14ac:dyDescent="0.3">
      <c r="A67" s="21" t="s">
        <v>93</v>
      </c>
      <c r="B67" s="22">
        <v>-7.3210000000000006</v>
      </c>
    </row>
    <row r="68" spans="1:2" x14ac:dyDescent="0.3">
      <c r="A68" s="27">
        <v>1</v>
      </c>
      <c r="B68" s="22">
        <v>8.0000000000000071E-2</v>
      </c>
    </row>
    <row r="69" spans="1:2" x14ac:dyDescent="0.3">
      <c r="A69" s="27">
        <v>2</v>
      </c>
      <c r="B69" s="22">
        <v>-0.18900000000000006</v>
      </c>
    </row>
    <row r="70" spans="1:2" x14ac:dyDescent="0.3">
      <c r="A70" s="27">
        <v>3</v>
      </c>
      <c r="B70" s="22">
        <v>-0.79</v>
      </c>
    </row>
    <row r="71" spans="1:2" x14ac:dyDescent="0.3">
      <c r="A71" s="27">
        <v>4</v>
      </c>
      <c r="B71" s="22">
        <v>-0.17999999999999972</v>
      </c>
    </row>
    <row r="72" spans="1:2" x14ac:dyDescent="0.3">
      <c r="A72" s="27">
        <v>5</v>
      </c>
      <c r="B72" s="22">
        <v>-8.0000000000000071E-2</v>
      </c>
    </row>
    <row r="73" spans="1:2" x14ac:dyDescent="0.3">
      <c r="A73" s="27">
        <v>6</v>
      </c>
      <c r="B73" s="22">
        <v>-0.99500000000000011</v>
      </c>
    </row>
    <row r="74" spans="1:2" x14ac:dyDescent="0.3">
      <c r="A74" s="27">
        <v>7</v>
      </c>
      <c r="B74" s="22">
        <v>0.41000000000000014</v>
      </c>
    </row>
    <row r="75" spans="1:2" x14ac:dyDescent="0.3">
      <c r="A75" s="27">
        <v>8</v>
      </c>
      <c r="B75" s="22">
        <v>-0.95000000000000018</v>
      </c>
    </row>
    <row r="76" spans="1:2" x14ac:dyDescent="0.3">
      <c r="A76" s="27">
        <v>9</v>
      </c>
      <c r="B76" s="22">
        <v>-1.21</v>
      </c>
    </row>
    <row r="77" spans="1:2" x14ac:dyDescent="0.3">
      <c r="A77" s="27">
        <v>10</v>
      </c>
      <c r="B77" s="22">
        <v>-0.52500000000000036</v>
      </c>
    </row>
    <row r="78" spans="1:2" x14ac:dyDescent="0.3">
      <c r="A78" s="27">
        <v>11</v>
      </c>
      <c r="B78" s="22">
        <v>-0.87999999999999989</v>
      </c>
    </row>
    <row r="79" spans="1:2" x14ac:dyDescent="0.3">
      <c r="A79" s="27">
        <v>12</v>
      </c>
      <c r="B79" s="22">
        <v>-0.83000000000000007</v>
      </c>
    </row>
    <row r="80" spans="1:2" x14ac:dyDescent="0.3">
      <c r="A80" s="27">
        <v>13</v>
      </c>
      <c r="B80" s="22">
        <v>-0.91699999999999982</v>
      </c>
    </row>
    <row r="81" spans="1:2" x14ac:dyDescent="0.3">
      <c r="A81" s="27">
        <v>14</v>
      </c>
      <c r="B81" s="22">
        <v>-0.98000000000000043</v>
      </c>
    </row>
    <row r="82" spans="1:2" x14ac:dyDescent="0.3">
      <c r="A82" s="27">
        <v>15</v>
      </c>
      <c r="B82" s="22">
        <v>0.69500000000000028</v>
      </c>
    </row>
    <row r="83" spans="1:2" x14ac:dyDescent="0.3">
      <c r="A83" s="27">
        <v>16</v>
      </c>
      <c r="B83" s="22">
        <v>0.12000000000000011</v>
      </c>
    </row>
    <row r="84" spans="1:2" x14ac:dyDescent="0.3">
      <c r="A84" s="27">
        <v>17</v>
      </c>
      <c r="B84" s="22">
        <v>-0.17999999999999972</v>
      </c>
    </row>
    <row r="85" spans="1:2" x14ac:dyDescent="0.3">
      <c r="A85" s="27">
        <v>18</v>
      </c>
      <c r="B85" s="22">
        <v>8.0000000000000071E-2</v>
      </c>
    </row>
    <row r="86" spans="1:2" x14ac:dyDescent="0.3">
      <c r="A86" s="24">
        <v>43616.541666666664</v>
      </c>
      <c r="B86" s="22">
        <v>-7.2565</v>
      </c>
    </row>
    <row r="87" spans="1:2" x14ac:dyDescent="0.3">
      <c r="A87" s="21" t="s">
        <v>94</v>
      </c>
      <c r="B87" s="22">
        <v>-7.2565</v>
      </c>
    </row>
    <row r="88" spans="1:2" x14ac:dyDescent="0.3">
      <c r="A88" s="27">
        <v>1</v>
      </c>
      <c r="B88" s="22">
        <v>-0.9115000000000002</v>
      </c>
    </row>
    <row r="89" spans="1:2" x14ac:dyDescent="0.3">
      <c r="A89" s="27">
        <v>2</v>
      </c>
      <c r="B89" s="22">
        <v>0.16999999999999993</v>
      </c>
    </row>
    <row r="90" spans="1:2" x14ac:dyDescent="0.3">
      <c r="A90" s="27">
        <v>3</v>
      </c>
      <c r="B90" s="22">
        <v>-0.91999999999999993</v>
      </c>
    </row>
    <row r="91" spans="1:2" x14ac:dyDescent="0.3">
      <c r="A91" s="27">
        <v>4</v>
      </c>
      <c r="B91" s="22">
        <v>-0.17999999999999972</v>
      </c>
    </row>
    <row r="92" spans="1:2" x14ac:dyDescent="0.3">
      <c r="A92" s="27">
        <v>5</v>
      </c>
      <c r="B92" s="22">
        <v>0.28000000000000025</v>
      </c>
    </row>
    <row r="93" spans="1:2" x14ac:dyDescent="0.3">
      <c r="A93" s="27">
        <v>6</v>
      </c>
      <c r="B93" s="22">
        <v>-1.79</v>
      </c>
    </row>
    <row r="94" spans="1:2" x14ac:dyDescent="0.3">
      <c r="A94" s="27">
        <v>7</v>
      </c>
      <c r="B94" s="22">
        <v>-2.7750000000000004</v>
      </c>
    </row>
    <row r="95" spans="1:2" x14ac:dyDescent="0.3">
      <c r="A95" s="27">
        <v>8</v>
      </c>
      <c r="B95" s="22">
        <v>0.82000000000000028</v>
      </c>
    </row>
    <row r="96" spans="1:2" x14ac:dyDescent="0.3">
      <c r="A96" s="27">
        <v>9</v>
      </c>
      <c r="B96" s="22">
        <v>-1.9500000000000002</v>
      </c>
    </row>
    <row r="97" spans="1:2" x14ac:dyDescent="0.3">
      <c r="A97" s="24">
        <v>43623.541666666664</v>
      </c>
      <c r="B97" s="22">
        <v>-2.8275000000000001</v>
      </c>
    </row>
    <row r="98" spans="1:2" x14ac:dyDescent="0.3">
      <c r="A98" s="21" t="s">
        <v>88</v>
      </c>
      <c r="B98" s="22">
        <v>-2.8275000000000001</v>
      </c>
    </row>
    <row r="99" spans="1:2" x14ac:dyDescent="0.3">
      <c r="A99" s="27">
        <v>12</v>
      </c>
      <c r="B99" s="22">
        <v>-1.915</v>
      </c>
    </row>
    <row r="100" spans="1:2" x14ac:dyDescent="0.3">
      <c r="A100" s="27">
        <v>13</v>
      </c>
      <c r="B100" s="22">
        <v>-0.20999999999999996</v>
      </c>
    </row>
    <row r="101" spans="1:2" x14ac:dyDescent="0.3">
      <c r="A101" s="27">
        <v>14</v>
      </c>
      <c r="B101" s="22">
        <v>0.28000000000000047</v>
      </c>
    </row>
    <row r="102" spans="1:2" x14ac:dyDescent="0.3">
      <c r="A102" s="27">
        <v>15</v>
      </c>
      <c r="B102" s="22">
        <v>-0.92250000000000032</v>
      </c>
    </row>
    <row r="103" spans="1:2" x14ac:dyDescent="0.3">
      <c r="A103" s="27">
        <v>16</v>
      </c>
      <c r="B103" s="22">
        <v>-6.0000000000000053E-2</v>
      </c>
    </row>
    <row r="104" spans="1:2" x14ac:dyDescent="0.3">
      <c r="A104" s="24">
        <v>43624.392361111109</v>
      </c>
      <c r="B104" s="22">
        <v>-3.0559999999999987</v>
      </c>
    </row>
    <row r="105" spans="1:2" x14ac:dyDescent="0.3">
      <c r="A105" s="21" t="s">
        <v>88</v>
      </c>
      <c r="B105" s="22">
        <v>-3.0559999999999987</v>
      </c>
    </row>
    <row r="106" spans="1:2" x14ac:dyDescent="0.3">
      <c r="A106" s="27">
        <v>1</v>
      </c>
      <c r="B106" s="22">
        <v>-0.95000000000000018</v>
      </c>
    </row>
    <row r="107" spans="1:2" x14ac:dyDescent="0.3">
      <c r="A107" s="27">
        <v>2</v>
      </c>
      <c r="B107" s="22">
        <v>0.74000000000000021</v>
      </c>
    </row>
    <row r="108" spans="1:2" x14ac:dyDescent="0.3">
      <c r="A108" s="27">
        <v>3</v>
      </c>
      <c r="B108" s="22">
        <v>-2.29</v>
      </c>
    </row>
    <row r="109" spans="1:2" x14ac:dyDescent="0.3">
      <c r="A109" s="27">
        <v>4</v>
      </c>
      <c r="B109" s="22">
        <v>0.9700000000000002</v>
      </c>
    </row>
    <row r="110" spans="1:2" x14ac:dyDescent="0.3">
      <c r="A110" s="27">
        <v>5</v>
      </c>
      <c r="B110" s="22">
        <v>-1.08</v>
      </c>
    </row>
    <row r="111" spans="1:2" x14ac:dyDescent="0.3">
      <c r="A111" s="27">
        <v>6</v>
      </c>
      <c r="B111" s="22">
        <v>-0.17499999999999982</v>
      </c>
    </row>
    <row r="112" spans="1:2" x14ac:dyDescent="0.3">
      <c r="A112" s="27">
        <v>7</v>
      </c>
      <c r="B112" s="22">
        <v>8.8499999999999801E-2</v>
      </c>
    </row>
    <row r="113" spans="1:2" x14ac:dyDescent="0.3">
      <c r="A113" s="27">
        <v>8</v>
      </c>
      <c r="B113" s="22">
        <v>-0.30499999999999972</v>
      </c>
    </row>
    <row r="114" spans="1:2" x14ac:dyDescent="0.3">
      <c r="A114" s="27">
        <v>9</v>
      </c>
      <c r="B114" s="22">
        <v>-2.9999999999999805E-2</v>
      </c>
    </row>
    <row r="115" spans="1:2" x14ac:dyDescent="0.3">
      <c r="A115" s="27">
        <v>10</v>
      </c>
      <c r="B115" s="22">
        <v>-0.10999999999999988</v>
      </c>
    </row>
    <row r="116" spans="1:2" x14ac:dyDescent="0.3">
      <c r="A116" s="27">
        <v>11</v>
      </c>
      <c r="B116" s="22">
        <v>-0.17999999999999972</v>
      </c>
    </row>
    <row r="117" spans="1:2" x14ac:dyDescent="0.3">
      <c r="A117" s="27">
        <v>12</v>
      </c>
      <c r="B117" s="22">
        <v>1.153</v>
      </c>
    </row>
    <row r="118" spans="1:2" x14ac:dyDescent="0.3">
      <c r="A118" s="27">
        <v>13</v>
      </c>
      <c r="B118" s="22">
        <v>0.79</v>
      </c>
    </row>
    <row r="119" spans="1:2" x14ac:dyDescent="0.3">
      <c r="A119" s="27">
        <v>14</v>
      </c>
      <c r="B119" s="22">
        <v>0.28000000000000025</v>
      </c>
    </row>
    <row r="120" spans="1:2" x14ac:dyDescent="0.3">
      <c r="A120" s="27">
        <v>15</v>
      </c>
      <c r="B120" s="22">
        <v>-0.92250000000000032</v>
      </c>
    </row>
    <row r="121" spans="1:2" x14ac:dyDescent="0.3">
      <c r="A121" s="27">
        <v>16</v>
      </c>
      <c r="B121" s="22">
        <v>-1.06</v>
      </c>
    </row>
    <row r="122" spans="1:2" x14ac:dyDescent="0.3">
      <c r="A122" s="27">
        <v>17</v>
      </c>
      <c r="B122" s="22">
        <v>-0.95000000000000018</v>
      </c>
    </row>
    <row r="123" spans="1:2" x14ac:dyDescent="0.3">
      <c r="A123" s="27">
        <v>18</v>
      </c>
      <c r="B123" s="22">
        <v>0.97500000000000009</v>
      </c>
    </row>
    <row r="124" spans="1:2" x14ac:dyDescent="0.3">
      <c r="A124" s="24">
        <v>43629.708333333336</v>
      </c>
      <c r="B124" s="22">
        <v>-1.3809999999999993</v>
      </c>
    </row>
    <row r="125" spans="1:2" x14ac:dyDescent="0.3">
      <c r="A125" s="21" t="s">
        <v>93</v>
      </c>
      <c r="B125" s="22">
        <v>-1.3809999999999993</v>
      </c>
    </row>
    <row r="126" spans="1:2" x14ac:dyDescent="0.3">
      <c r="A126" s="27">
        <v>1</v>
      </c>
      <c r="B126" s="22">
        <v>1.08</v>
      </c>
    </row>
    <row r="127" spans="1:2" x14ac:dyDescent="0.3">
      <c r="A127" s="27">
        <v>2</v>
      </c>
      <c r="B127" s="22">
        <v>-1.1890000000000001</v>
      </c>
    </row>
    <row r="128" spans="1:2" x14ac:dyDescent="0.3">
      <c r="A128" s="27">
        <v>3</v>
      </c>
      <c r="B128" s="22">
        <v>0.20999999999999996</v>
      </c>
    </row>
    <row r="129" spans="1:2" x14ac:dyDescent="0.3">
      <c r="A129" s="27">
        <v>4</v>
      </c>
      <c r="B129" s="22">
        <v>-0.17999999999999972</v>
      </c>
    </row>
    <row r="130" spans="1:2" x14ac:dyDescent="0.3">
      <c r="A130" s="27">
        <v>5</v>
      </c>
      <c r="B130" s="22">
        <v>-8.0000000000000071E-2</v>
      </c>
    </row>
    <row r="131" spans="1:2" x14ac:dyDescent="0.3">
      <c r="A131" s="27">
        <v>6</v>
      </c>
      <c r="B131" s="22">
        <v>4.9999999999998934E-3</v>
      </c>
    </row>
    <row r="132" spans="1:2" x14ac:dyDescent="0.3">
      <c r="A132" s="27">
        <v>7</v>
      </c>
      <c r="B132" s="22">
        <v>0.41000000000000014</v>
      </c>
    </row>
    <row r="133" spans="1:2" x14ac:dyDescent="0.3">
      <c r="A133" s="27">
        <v>8</v>
      </c>
      <c r="B133" s="22">
        <v>-9.9999999999997868E-3</v>
      </c>
    </row>
    <row r="134" spans="1:2" x14ac:dyDescent="0.3">
      <c r="A134" s="27">
        <v>9</v>
      </c>
      <c r="B134" s="22">
        <v>-0.20999999999999996</v>
      </c>
    </row>
    <row r="135" spans="1:2" x14ac:dyDescent="0.3">
      <c r="A135" s="27">
        <v>10</v>
      </c>
      <c r="B135" s="22">
        <v>-0.52500000000000036</v>
      </c>
    </row>
    <row r="136" spans="1:2" x14ac:dyDescent="0.3">
      <c r="A136" s="27">
        <v>11</v>
      </c>
      <c r="B136" s="22">
        <v>0.12000000000000011</v>
      </c>
    </row>
    <row r="137" spans="1:2" x14ac:dyDescent="0.3">
      <c r="A137" s="27">
        <v>12</v>
      </c>
      <c r="B137" s="22">
        <v>0.16999999999999993</v>
      </c>
    </row>
    <row r="138" spans="1:2" x14ac:dyDescent="0.3">
      <c r="A138" s="27">
        <v>13</v>
      </c>
      <c r="B138" s="22">
        <v>-1.9169999999999998</v>
      </c>
    </row>
    <row r="139" spans="1:2" x14ac:dyDescent="0.3">
      <c r="A139" s="27">
        <v>14</v>
      </c>
      <c r="B139" s="22">
        <v>1.9999999999999574E-2</v>
      </c>
    </row>
    <row r="140" spans="1:2" x14ac:dyDescent="0.3">
      <c r="A140" s="27">
        <v>15</v>
      </c>
      <c r="B140" s="22">
        <v>-0.30499999999999972</v>
      </c>
    </row>
    <row r="141" spans="1:2" x14ac:dyDescent="0.3">
      <c r="A141" s="27">
        <v>16</v>
      </c>
      <c r="B141" s="22">
        <v>0.12000000000000011</v>
      </c>
    </row>
    <row r="142" spans="1:2" x14ac:dyDescent="0.3">
      <c r="A142" s="27">
        <v>17</v>
      </c>
      <c r="B142" s="22">
        <v>-0.17999999999999972</v>
      </c>
    </row>
    <row r="143" spans="1:2" x14ac:dyDescent="0.3">
      <c r="A143" s="27">
        <v>18</v>
      </c>
      <c r="B143" s="22">
        <v>1.08</v>
      </c>
    </row>
    <row r="144" spans="1:2" x14ac:dyDescent="0.3">
      <c r="A144" s="24" t="s">
        <v>91</v>
      </c>
      <c r="B144" s="22">
        <v>-31.085499999999996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M246"/>
  <sheetViews>
    <sheetView workbookViewId="0"/>
  </sheetViews>
  <sheetFormatPr defaultRowHeight="14.4" x14ac:dyDescent="0.3"/>
  <cols>
    <col min="1" max="1" width="12.5546875" customWidth="1"/>
    <col min="2" max="2" width="12.6640625" customWidth="1"/>
  </cols>
  <sheetData>
    <row r="1" spans="1:13" ht="15" thickBot="1" x14ac:dyDescent="0.35">
      <c r="A1" s="19" t="s">
        <v>1</v>
      </c>
      <c r="B1" t="s">
        <v>92</v>
      </c>
    </row>
    <row r="2" spans="1:13" ht="15" thickBot="1" x14ac:dyDescent="0.35">
      <c r="A2" s="19" t="s">
        <v>0</v>
      </c>
      <c r="B2" t="s">
        <v>92</v>
      </c>
      <c r="H2" s="28" t="s">
        <v>98</v>
      </c>
      <c r="I2" s="29"/>
      <c r="J2" s="29"/>
      <c r="K2" s="29"/>
      <c r="L2" s="29"/>
      <c r="M2" s="30"/>
    </row>
    <row r="3" spans="1:13" ht="15" thickBot="1" x14ac:dyDescent="0.35">
      <c r="H3" s="25" t="s">
        <v>49</v>
      </c>
      <c r="I3" s="25" t="s">
        <v>48</v>
      </c>
      <c r="J3" s="25" t="s">
        <v>50</v>
      </c>
      <c r="K3" s="25" t="s">
        <v>60</v>
      </c>
      <c r="L3" s="25" t="s">
        <v>47</v>
      </c>
      <c r="M3" s="25" t="s">
        <v>68</v>
      </c>
    </row>
    <row r="4" spans="1:13" ht="15" thickBot="1" x14ac:dyDescent="0.35">
      <c r="A4" s="19" t="s">
        <v>90</v>
      </c>
      <c r="B4" t="s">
        <v>96</v>
      </c>
      <c r="H4" s="25">
        <v>-0.52600000000000113</v>
      </c>
      <c r="I4" s="25">
        <v>-6.0226666666666633</v>
      </c>
      <c r="J4" s="25">
        <v>-2.5512850230414745</v>
      </c>
      <c r="K4" s="25">
        <v>-3.6299999999999994</v>
      </c>
      <c r="L4" s="25">
        <v>-1.3872000000000015</v>
      </c>
      <c r="M4" s="25">
        <v>2.1961666666666706</v>
      </c>
    </row>
    <row r="5" spans="1:13" x14ac:dyDescent="0.3">
      <c r="A5" s="20" t="s">
        <v>49</v>
      </c>
      <c r="B5" s="22">
        <v>-2.0166666666666777E-2</v>
      </c>
    </row>
    <row r="6" spans="1:13" x14ac:dyDescent="0.3">
      <c r="A6" s="21">
        <v>15</v>
      </c>
      <c r="B6" s="22">
        <v>-1.100000000000001E-2</v>
      </c>
    </row>
    <row r="7" spans="1:13" x14ac:dyDescent="0.3">
      <c r="A7" s="21">
        <v>21</v>
      </c>
      <c r="B7" s="22">
        <v>0.10999999999999988</v>
      </c>
    </row>
    <row r="8" spans="1:13" x14ac:dyDescent="0.3">
      <c r="A8" s="21">
        <v>22</v>
      </c>
      <c r="B8" s="22">
        <v>0.29499999999999982</v>
      </c>
    </row>
    <row r="9" spans="1:13" x14ac:dyDescent="0.3">
      <c r="A9" s="21">
        <v>27</v>
      </c>
      <c r="B9" s="22">
        <v>-3.0000000000000249E-2</v>
      </c>
    </row>
    <row r="10" spans="1:13" x14ac:dyDescent="0.3">
      <c r="A10" s="21">
        <v>34</v>
      </c>
      <c r="B10" s="22">
        <v>-0.76000000000000023</v>
      </c>
    </row>
    <row r="11" spans="1:13" x14ac:dyDescent="0.3">
      <c r="A11" s="21">
        <v>55</v>
      </c>
      <c r="B11" s="22">
        <v>-0.28800000000000026</v>
      </c>
    </row>
    <row r="12" spans="1:13" x14ac:dyDescent="0.3">
      <c r="A12" s="21">
        <v>63</v>
      </c>
      <c r="B12" s="22">
        <v>0.80999999999999983</v>
      </c>
    </row>
    <row r="13" spans="1:13" x14ac:dyDescent="0.3">
      <c r="A13" s="21">
        <v>78</v>
      </c>
      <c r="B13" s="22">
        <v>-0.45999999999999996</v>
      </c>
    </row>
    <row r="14" spans="1:13" x14ac:dyDescent="0.3">
      <c r="A14" s="21">
        <v>85</v>
      </c>
      <c r="B14" s="22">
        <v>0.38800000000000012</v>
      </c>
    </row>
    <row r="15" spans="1:13" x14ac:dyDescent="0.3">
      <c r="A15" s="21">
        <v>168</v>
      </c>
      <c r="B15" s="22">
        <v>-0.58000000000000007</v>
      </c>
    </row>
    <row r="16" spans="1:13" x14ac:dyDescent="0.3">
      <c r="A16" s="20" t="s">
        <v>48</v>
      </c>
      <c r="B16" s="22">
        <v>-6.2632653061224494E-2</v>
      </c>
    </row>
    <row r="17" spans="1:2" x14ac:dyDescent="0.3">
      <c r="A17" s="21">
        <v>8</v>
      </c>
      <c r="B17" s="22">
        <v>-0.53000000000000025</v>
      </c>
    </row>
    <row r="18" spans="1:2" x14ac:dyDescent="0.3">
      <c r="A18" s="21">
        <v>9</v>
      </c>
      <c r="B18" s="22">
        <v>9.7499999999999809E-2</v>
      </c>
    </row>
    <row r="19" spans="1:2" x14ac:dyDescent="0.3">
      <c r="A19" s="21">
        <v>11</v>
      </c>
      <c r="B19" s="22">
        <v>-0.15999999999999992</v>
      </c>
    </row>
    <row r="20" spans="1:2" x14ac:dyDescent="0.3">
      <c r="A20" s="21">
        <v>12</v>
      </c>
      <c r="B20" s="22">
        <v>-0.22399999999999987</v>
      </c>
    </row>
    <row r="21" spans="1:2" x14ac:dyDescent="0.3">
      <c r="A21" s="21">
        <v>13</v>
      </c>
      <c r="B21" s="22">
        <v>-0.23999999999999977</v>
      </c>
    </row>
    <row r="22" spans="1:2" x14ac:dyDescent="0.3">
      <c r="A22" s="21">
        <v>14</v>
      </c>
      <c r="B22" s="22">
        <v>-0.64999999999999991</v>
      </c>
    </row>
    <row r="23" spans="1:2" x14ac:dyDescent="0.3">
      <c r="A23" s="21">
        <v>15</v>
      </c>
      <c r="B23" s="22">
        <v>-7.0999999999999952E-2</v>
      </c>
    </row>
    <row r="24" spans="1:2" x14ac:dyDescent="0.3">
      <c r="A24" s="21">
        <v>17</v>
      </c>
      <c r="B24" s="22">
        <v>0.25</v>
      </c>
    </row>
    <row r="25" spans="1:2" x14ac:dyDescent="0.3">
      <c r="A25" s="21">
        <v>19</v>
      </c>
      <c r="B25" s="22">
        <v>-0.57000000000000006</v>
      </c>
    </row>
    <row r="26" spans="1:2" x14ac:dyDescent="0.3">
      <c r="A26" s="21">
        <v>22</v>
      </c>
      <c r="B26" s="22">
        <v>0.32999999999999996</v>
      </c>
    </row>
    <row r="27" spans="1:2" x14ac:dyDescent="0.3">
      <c r="A27" s="21">
        <v>26</v>
      </c>
      <c r="B27" s="22">
        <v>0.35999999999999988</v>
      </c>
    </row>
    <row r="28" spans="1:2" x14ac:dyDescent="0.3">
      <c r="A28" s="21">
        <v>44</v>
      </c>
      <c r="B28" s="22">
        <v>-0.79999999999999982</v>
      </c>
    </row>
    <row r="29" spans="1:2" x14ac:dyDescent="0.3">
      <c r="A29" s="21">
        <v>60</v>
      </c>
      <c r="B29" s="22">
        <v>0.14000000000000012</v>
      </c>
    </row>
    <row r="30" spans="1:2" x14ac:dyDescent="0.3">
      <c r="A30" s="21">
        <v>63</v>
      </c>
      <c r="B30" s="22">
        <v>-0.18999999999999984</v>
      </c>
    </row>
    <row r="31" spans="1:2" x14ac:dyDescent="0.3">
      <c r="A31" s="21">
        <v>68</v>
      </c>
      <c r="B31" s="22">
        <v>-0.29599999999999982</v>
      </c>
    </row>
    <row r="32" spans="1:2" x14ac:dyDescent="0.3">
      <c r="A32" s="21">
        <v>74</v>
      </c>
      <c r="B32" s="22">
        <v>0.33000000000000007</v>
      </c>
    </row>
    <row r="33" spans="1:2" x14ac:dyDescent="0.3">
      <c r="A33" s="21">
        <v>75</v>
      </c>
      <c r="B33" s="22">
        <v>0.71</v>
      </c>
    </row>
    <row r="34" spans="1:2" x14ac:dyDescent="0.3">
      <c r="A34" s="21">
        <v>77</v>
      </c>
      <c r="B34" s="22">
        <v>-0.10200000000000009</v>
      </c>
    </row>
    <row r="35" spans="1:2" x14ac:dyDescent="0.3">
      <c r="A35" s="21">
        <v>82</v>
      </c>
      <c r="B35" s="22">
        <v>-0.10200000000000009</v>
      </c>
    </row>
    <row r="36" spans="1:2" x14ac:dyDescent="0.3">
      <c r="A36" s="21">
        <v>85</v>
      </c>
      <c r="B36" s="22">
        <v>-1</v>
      </c>
    </row>
    <row r="37" spans="1:2" x14ac:dyDescent="0.3">
      <c r="A37" s="21">
        <v>87</v>
      </c>
      <c r="B37" s="22">
        <v>-0.7200000000000002</v>
      </c>
    </row>
    <row r="38" spans="1:2" x14ac:dyDescent="0.3">
      <c r="A38" s="21">
        <v>92</v>
      </c>
      <c r="B38" s="22">
        <v>-0.18999999999999995</v>
      </c>
    </row>
    <row r="39" spans="1:2" x14ac:dyDescent="0.3">
      <c r="A39" s="21">
        <v>93</v>
      </c>
      <c r="B39" s="22">
        <v>-0.14000000000000012</v>
      </c>
    </row>
    <row r="40" spans="1:2" x14ac:dyDescent="0.3">
      <c r="A40" s="21">
        <v>96</v>
      </c>
      <c r="B40" s="22">
        <v>8.7999999999999856E-2</v>
      </c>
    </row>
    <row r="41" spans="1:2" x14ac:dyDescent="0.3">
      <c r="A41" s="21">
        <v>106</v>
      </c>
      <c r="B41" s="22">
        <v>-0.22999999999999998</v>
      </c>
    </row>
    <row r="42" spans="1:2" x14ac:dyDescent="0.3">
      <c r="A42" s="21">
        <v>107</v>
      </c>
      <c r="B42" s="22">
        <v>-0.19600000000000017</v>
      </c>
    </row>
    <row r="43" spans="1:2" x14ac:dyDescent="0.3">
      <c r="A43" s="21">
        <v>109</v>
      </c>
      <c r="B43" s="22">
        <v>-0.80000000000000027</v>
      </c>
    </row>
    <row r="44" spans="1:2" x14ac:dyDescent="0.3">
      <c r="A44" s="21">
        <v>114</v>
      </c>
      <c r="B44" s="22">
        <v>0.13800000000000012</v>
      </c>
    </row>
    <row r="45" spans="1:2" x14ac:dyDescent="0.3">
      <c r="A45" s="21">
        <v>118</v>
      </c>
      <c r="B45" s="22">
        <v>-0.62000000000000011</v>
      </c>
    </row>
    <row r="46" spans="1:2" x14ac:dyDescent="0.3">
      <c r="A46" s="21">
        <v>119</v>
      </c>
      <c r="B46" s="22">
        <v>-0.33000000000000007</v>
      </c>
    </row>
    <row r="47" spans="1:2" x14ac:dyDescent="0.3">
      <c r="A47" s="21">
        <v>120</v>
      </c>
      <c r="B47" s="22">
        <v>-2.0000000000000018E-3</v>
      </c>
    </row>
    <row r="48" spans="1:2" x14ac:dyDescent="0.3">
      <c r="A48" s="21">
        <v>121</v>
      </c>
      <c r="B48" s="22">
        <v>0.29000000000000004</v>
      </c>
    </row>
    <row r="49" spans="1:2" x14ac:dyDescent="0.3">
      <c r="A49" s="21">
        <v>124</v>
      </c>
      <c r="B49" s="22">
        <v>0.51</v>
      </c>
    </row>
    <row r="50" spans="1:2" x14ac:dyDescent="0.3">
      <c r="A50" s="21">
        <v>125</v>
      </c>
      <c r="B50" s="22">
        <v>-0.14599999999999991</v>
      </c>
    </row>
    <row r="51" spans="1:2" x14ac:dyDescent="0.3">
      <c r="A51" s="21">
        <v>126</v>
      </c>
      <c r="B51" s="22">
        <v>5.2000000000000046E-2</v>
      </c>
    </row>
    <row r="52" spans="1:2" x14ac:dyDescent="0.3">
      <c r="A52" s="21">
        <v>129</v>
      </c>
      <c r="B52" s="22">
        <v>4.2666666666666853E-2</v>
      </c>
    </row>
    <row r="53" spans="1:2" x14ac:dyDescent="0.3">
      <c r="A53" s="21">
        <v>131</v>
      </c>
      <c r="B53" s="22">
        <v>0.22600000000000009</v>
      </c>
    </row>
    <row r="54" spans="1:2" x14ac:dyDescent="0.3">
      <c r="A54" s="21">
        <v>132</v>
      </c>
      <c r="B54" s="22">
        <v>-0.16599999999999993</v>
      </c>
    </row>
    <row r="55" spans="1:2" x14ac:dyDescent="0.3">
      <c r="A55" s="21">
        <v>135</v>
      </c>
      <c r="B55" s="22">
        <v>-8.2499999999999851E-2</v>
      </c>
    </row>
    <row r="56" spans="1:2" x14ac:dyDescent="0.3">
      <c r="A56" s="21">
        <v>142</v>
      </c>
      <c r="B56" s="22">
        <v>-0.37999999999999989</v>
      </c>
    </row>
    <row r="57" spans="1:2" x14ac:dyDescent="0.3">
      <c r="A57" s="21">
        <v>145</v>
      </c>
      <c r="B57" s="22">
        <v>-2.9999999999999805E-2</v>
      </c>
    </row>
    <row r="58" spans="1:2" x14ac:dyDescent="0.3">
      <c r="A58" s="21">
        <v>148</v>
      </c>
      <c r="B58" s="22">
        <v>-0.20000000000000018</v>
      </c>
    </row>
    <row r="59" spans="1:2" x14ac:dyDescent="0.3">
      <c r="A59" s="21">
        <v>152</v>
      </c>
      <c r="B59" s="22">
        <v>0.253</v>
      </c>
    </row>
    <row r="60" spans="1:2" x14ac:dyDescent="0.3">
      <c r="A60" s="21">
        <v>153</v>
      </c>
      <c r="B60" s="22">
        <v>8.0000000000000071E-3</v>
      </c>
    </row>
    <row r="61" spans="1:2" x14ac:dyDescent="0.3">
      <c r="A61" s="21">
        <v>155</v>
      </c>
      <c r="B61" s="22">
        <v>-0.49000000000000021</v>
      </c>
    </row>
    <row r="62" spans="1:2" x14ac:dyDescent="0.3">
      <c r="A62" s="21">
        <v>156</v>
      </c>
      <c r="B62" s="22">
        <v>0.12799999999999989</v>
      </c>
    </row>
    <row r="63" spans="1:2" x14ac:dyDescent="0.3">
      <c r="A63" s="21">
        <v>157</v>
      </c>
      <c r="B63" s="22">
        <v>-0.36700000000000021</v>
      </c>
    </row>
    <row r="64" spans="1:2" x14ac:dyDescent="0.3">
      <c r="A64" s="21">
        <v>166</v>
      </c>
      <c r="B64" s="22">
        <v>-8.333333333333319E-2</v>
      </c>
    </row>
    <row r="65" spans="1:2" x14ac:dyDescent="0.3">
      <c r="A65" s="21">
        <v>167</v>
      </c>
      <c r="B65" s="22">
        <v>0.3680000000000001</v>
      </c>
    </row>
    <row r="66" spans="1:2" x14ac:dyDescent="0.3">
      <c r="A66" s="21">
        <v>168</v>
      </c>
      <c r="B66" s="22">
        <v>0.60499999999999998</v>
      </c>
    </row>
    <row r="67" spans="1:2" x14ac:dyDescent="0.3">
      <c r="A67" s="21">
        <v>173</v>
      </c>
      <c r="B67" s="22">
        <v>-0.39999999999999991</v>
      </c>
    </row>
    <row r="68" spans="1:2" x14ac:dyDescent="0.3">
      <c r="A68" s="21">
        <v>175</v>
      </c>
      <c r="B68" s="22">
        <v>-7.2000000000000064E-2</v>
      </c>
    </row>
    <row r="69" spans="1:2" x14ac:dyDescent="0.3">
      <c r="A69" s="21">
        <v>182</v>
      </c>
      <c r="B69" s="22">
        <v>-0.25999999999999979</v>
      </c>
    </row>
    <row r="70" spans="1:2" x14ac:dyDescent="0.3">
      <c r="A70" s="21">
        <v>188</v>
      </c>
      <c r="B70" s="22">
        <v>-0.33999999999999986</v>
      </c>
    </row>
    <row r="71" spans="1:2" x14ac:dyDescent="0.3">
      <c r="A71" s="21">
        <v>190</v>
      </c>
      <c r="B71" s="22">
        <v>0.20999999999999985</v>
      </c>
    </row>
    <row r="72" spans="1:2" x14ac:dyDescent="0.3">
      <c r="A72" s="21">
        <v>197</v>
      </c>
      <c r="B72" s="22">
        <v>-0.72500000000000009</v>
      </c>
    </row>
    <row r="73" spans="1:2" x14ac:dyDescent="0.3">
      <c r="A73" s="21">
        <v>199</v>
      </c>
      <c r="B73" s="22">
        <v>2.399999999999991E-2</v>
      </c>
    </row>
    <row r="74" spans="1:2" x14ac:dyDescent="0.3">
      <c r="A74" s="21">
        <v>202</v>
      </c>
      <c r="B74" s="22">
        <v>-0.5</v>
      </c>
    </row>
    <row r="75" spans="1:2" x14ac:dyDescent="0.3">
      <c r="A75" s="21">
        <v>206</v>
      </c>
      <c r="B75" s="22">
        <v>2.9999999999999805E-2</v>
      </c>
    </row>
    <row r="76" spans="1:2" x14ac:dyDescent="0.3">
      <c r="A76" s="21">
        <v>208</v>
      </c>
      <c r="B76" s="22">
        <v>-0.38000000000000034</v>
      </c>
    </row>
    <row r="77" spans="1:2" x14ac:dyDescent="0.3">
      <c r="A77" s="21">
        <v>215</v>
      </c>
      <c r="B77" s="22">
        <v>0.60799999999999987</v>
      </c>
    </row>
    <row r="78" spans="1:2" x14ac:dyDescent="0.3">
      <c r="A78" s="21">
        <v>234</v>
      </c>
      <c r="B78" s="22">
        <v>-7.9999999999999627E-2</v>
      </c>
    </row>
    <row r="79" spans="1:2" x14ac:dyDescent="0.3">
      <c r="A79" s="21">
        <v>235</v>
      </c>
      <c r="B79" s="22">
        <v>0.45400000000000018</v>
      </c>
    </row>
    <row r="80" spans="1:2" x14ac:dyDescent="0.3">
      <c r="A80" s="21">
        <v>241</v>
      </c>
      <c r="B80" s="22">
        <v>-0.16999999999999993</v>
      </c>
    </row>
    <row r="81" spans="1:2" x14ac:dyDescent="0.3">
      <c r="A81" s="21">
        <v>258</v>
      </c>
      <c r="B81" s="22">
        <v>-8.9999999999999858E-2</v>
      </c>
    </row>
    <row r="82" spans="1:2" x14ac:dyDescent="0.3">
      <c r="A82" s="21">
        <v>276</v>
      </c>
      <c r="B82" s="22">
        <v>0</v>
      </c>
    </row>
    <row r="83" spans="1:2" x14ac:dyDescent="0.3">
      <c r="A83" s="21">
        <v>280</v>
      </c>
      <c r="B83" s="22">
        <v>0.18999999999999995</v>
      </c>
    </row>
    <row r="84" spans="1:2" x14ac:dyDescent="0.3">
      <c r="A84" s="21">
        <v>284</v>
      </c>
      <c r="B84" s="22">
        <v>0</v>
      </c>
    </row>
    <row r="85" spans="1:2" x14ac:dyDescent="0.3">
      <c r="A85" s="21">
        <v>295</v>
      </c>
      <c r="B85" s="22">
        <v>6.0000000000000053E-2</v>
      </c>
    </row>
    <row r="86" spans="1:2" x14ac:dyDescent="0.3">
      <c r="A86" s="21">
        <v>317</v>
      </c>
      <c r="B86" s="22">
        <v>0.12999999999999989</v>
      </c>
    </row>
    <row r="87" spans="1:2" x14ac:dyDescent="0.3">
      <c r="A87" s="21">
        <v>328</v>
      </c>
      <c r="B87" s="22">
        <v>0.17999999999999972</v>
      </c>
    </row>
    <row r="88" spans="1:2" x14ac:dyDescent="0.3">
      <c r="A88" s="21">
        <v>351</v>
      </c>
      <c r="B88" s="22">
        <v>-1.9999999999999796E-2</v>
      </c>
    </row>
    <row r="89" spans="1:2" x14ac:dyDescent="0.3">
      <c r="A89" s="21">
        <v>377</v>
      </c>
      <c r="B89" s="22">
        <v>0.3100000000000005</v>
      </c>
    </row>
    <row r="90" spans="1:2" x14ac:dyDescent="0.3">
      <c r="A90" s="20" t="s">
        <v>50</v>
      </c>
      <c r="B90" s="22">
        <v>-9.3490909090909083E-2</v>
      </c>
    </row>
    <row r="91" spans="1:2" x14ac:dyDescent="0.3">
      <c r="A91" s="21">
        <v>0</v>
      </c>
      <c r="B91" s="22">
        <v>1.0000000000000009E-2</v>
      </c>
    </row>
    <row r="92" spans="1:2" x14ac:dyDescent="0.3">
      <c r="A92" s="21">
        <v>1</v>
      </c>
      <c r="B92" s="22">
        <v>-0.11080645161290326</v>
      </c>
    </row>
    <row r="93" spans="1:2" x14ac:dyDescent="0.3">
      <c r="A93" s="21">
        <v>2</v>
      </c>
      <c r="B93" s="22">
        <v>-0.32250000000000001</v>
      </c>
    </row>
    <row r="94" spans="1:2" x14ac:dyDescent="0.3">
      <c r="A94" s="21">
        <v>3</v>
      </c>
      <c r="B94" s="22">
        <v>6.1500000000000013E-2</v>
      </c>
    </row>
    <row r="95" spans="1:2" x14ac:dyDescent="0.3">
      <c r="A95" s="21">
        <v>4</v>
      </c>
      <c r="B95" s="22">
        <v>-0.24200000000000005</v>
      </c>
    </row>
    <row r="96" spans="1:2" x14ac:dyDescent="0.3">
      <c r="A96" s="21">
        <v>5</v>
      </c>
      <c r="B96" s="22">
        <v>2.7200000000000023E-2</v>
      </c>
    </row>
    <row r="97" spans="1:2" x14ac:dyDescent="0.3">
      <c r="A97" s="21">
        <v>7</v>
      </c>
      <c r="B97" s="22">
        <v>-4.7999999999999932E-2</v>
      </c>
    </row>
    <row r="98" spans="1:2" x14ac:dyDescent="0.3">
      <c r="A98" s="21">
        <v>8</v>
      </c>
      <c r="B98" s="22">
        <v>-0.14975000000000008</v>
      </c>
    </row>
    <row r="99" spans="1:2" x14ac:dyDescent="0.3">
      <c r="A99" s="21">
        <v>9</v>
      </c>
      <c r="B99" s="22">
        <v>-0.1614285714285715</v>
      </c>
    </row>
    <row r="100" spans="1:2" x14ac:dyDescent="0.3">
      <c r="A100" s="21">
        <v>10</v>
      </c>
      <c r="B100" s="22">
        <v>-0.30550000000000005</v>
      </c>
    </row>
    <row r="101" spans="1:2" x14ac:dyDescent="0.3">
      <c r="A101" s="21">
        <v>11</v>
      </c>
      <c r="B101" s="22">
        <v>0.152</v>
      </c>
    </row>
    <row r="102" spans="1:2" x14ac:dyDescent="0.3">
      <c r="A102" s="21">
        <v>12</v>
      </c>
      <c r="B102" s="22">
        <v>-0.3153333333333333</v>
      </c>
    </row>
    <row r="103" spans="1:2" x14ac:dyDescent="0.3">
      <c r="A103" s="21">
        <v>13</v>
      </c>
      <c r="B103" s="22">
        <v>-7.7999999999999847E-2</v>
      </c>
    </row>
    <row r="104" spans="1:2" x14ac:dyDescent="0.3">
      <c r="A104" s="21">
        <v>14</v>
      </c>
      <c r="B104" s="22">
        <v>-0.20666666666666664</v>
      </c>
    </row>
    <row r="105" spans="1:2" x14ac:dyDescent="0.3">
      <c r="A105" s="21">
        <v>15</v>
      </c>
      <c r="B105" s="22">
        <v>5.3000000000000103E-2</v>
      </c>
    </row>
    <row r="106" spans="1:2" x14ac:dyDescent="0.3">
      <c r="A106" s="21">
        <v>17</v>
      </c>
      <c r="B106" s="22">
        <v>-0.26799999999999979</v>
      </c>
    </row>
    <row r="107" spans="1:2" x14ac:dyDescent="0.3">
      <c r="A107" s="21">
        <v>19</v>
      </c>
      <c r="B107" s="22">
        <v>-0.32100000000000006</v>
      </c>
    </row>
    <row r="108" spans="1:2" x14ac:dyDescent="0.3">
      <c r="A108" s="21">
        <v>21</v>
      </c>
      <c r="B108" s="22">
        <v>-0.48799999999999977</v>
      </c>
    </row>
    <row r="109" spans="1:2" x14ac:dyDescent="0.3">
      <c r="A109" s="21">
        <v>24</v>
      </c>
      <c r="B109" s="22">
        <v>0.16199999999999992</v>
      </c>
    </row>
    <row r="110" spans="1:2" x14ac:dyDescent="0.3">
      <c r="A110" s="20" t="s">
        <v>60</v>
      </c>
      <c r="B110" s="22">
        <v>-0.36833333333333323</v>
      </c>
    </row>
    <row r="111" spans="1:2" x14ac:dyDescent="0.3">
      <c r="A111" s="21">
        <v>38</v>
      </c>
      <c r="B111" s="22">
        <v>0.27</v>
      </c>
    </row>
    <row r="112" spans="1:2" x14ac:dyDescent="0.3">
      <c r="A112" s="21">
        <v>60</v>
      </c>
      <c r="B112" s="22">
        <v>-1</v>
      </c>
    </row>
    <row r="113" spans="1:2" x14ac:dyDescent="0.3">
      <c r="A113" s="21">
        <v>101</v>
      </c>
      <c r="B113" s="22">
        <v>-0.16000000000000014</v>
      </c>
    </row>
    <row r="114" spans="1:2" x14ac:dyDescent="0.3">
      <c r="A114" s="21">
        <v>131</v>
      </c>
      <c r="B114" s="22">
        <v>-0.35000000000000009</v>
      </c>
    </row>
    <row r="115" spans="1:2" x14ac:dyDescent="0.3">
      <c r="A115" s="21">
        <v>137</v>
      </c>
      <c r="B115" s="22">
        <v>-0.35000000000000009</v>
      </c>
    </row>
    <row r="116" spans="1:2" x14ac:dyDescent="0.3">
      <c r="A116" s="21">
        <v>170</v>
      </c>
      <c r="B116" s="22">
        <v>-0.41000000000000014</v>
      </c>
    </row>
    <row r="117" spans="1:2" x14ac:dyDescent="0.3">
      <c r="A117" s="21">
        <v>199</v>
      </c>
      <c r="B117" s="22">
        <v>-0.2799999999999998</v>
      </c>
    </row>
    <row r="118" spans="1:2" x14ac:dyDescent="0.3">
      <c r="A118" s="21">
        <v>206</v>
      </c>
      <c r="B118" s="22">
        <v>-6.0000000000000053E-2</v>
      </c>
    </row>
    <row r="119" spans="1:2" x14ac:dyDescent="0.3">
      <c r="A119" s="21">
        <v>230</v>
      </c>
      <c r="B119" s="22">
        <v>0.14000000000000012</v>
      </c>
    </row>
    <row r="120" spans="1:2" x14ac:dyDescent="0.3">
      <c r="A120" s="21">
        <v>284</v>
      </c>
      <c r="B120" s="22">
        <v>-0.63999999999999968</v>
      </c>
    </row>
    <row r="121" spans="1:2" x14ac:dyDescent="0.3">
      <c r="A121" s="21">
        <v>328</v>
      </c>
      <c r="B121" s="22">
        <v>-0.78999999999999959</v>
      </c>
    </row>
    <row r="122" spans="1:2" x14ac:dyDescent="0.3">
      <c r="A122" s="20" t="s">
        <v>47</v>
      </c>
      <c r="B122" s="22">
        <v>-6.2703703703703734E-2</v>
      </c>
    </row>
    <row r="123" spans="1:2" x14ac:dyDescent="0.3">
      <c r="A123" s="21">
        <v>13</v>
      </c>
      <c r="B123" s="22">
        <v>-5.3333333333333378E-2</v>
      </c>
    </row>
    <row r="124" spans="1:2" x14ac:dyDescent="0.3">
      <c r="A124" s="21">
        <v>14</v>
      </c>
      <c r="B124" s="22">
        <v>-8.9999999999999858E-2</v>
      </c>
    </row>
    <row r="125" spans="1:2" x14ac:dyDescent="0.3">
      <c r="A125" s="21">
        <v>15</v>
      </c>
      <c r="B125" s="22">
        <v>0.11280000000000023</v>
      </c>
    </row>
    <row r="126" spans="1:2" x14ac:dyDescent="0.3">
      <c r="A126" s="21">
        <v>16</v>
      </c>
      <c r="B126" s="22">
        <v>0.3400000000000003</v>
      </c>
    </row>
    <row r="127" spans="1:2" x14ac:dyDescent="0.3">
      <c r="A127" s="21">
        <v>19</v>
      </c>
      <c r="B127" s="22">
        <v>0.54999999999999982</v>
      </c>
    </row>
    <row r="128" spans="1:2" x14ac:dyDescent="0.3">
      <c r="A128" s="21">
        <v>20</v>
      </c>
      <c r="B128" s="22">
        <v>-0.28666666666666679</v>
      </c>
    </row>
    <row r="129" spans="1:2" x14ac:dyDescent="0.3">
      <c r="A129" s="21">
        <v>21</v>
      </c>
      <c r="B129" s="22">
        <v>0.28999999999999981</v>
      </c>
    </row>
    <row r="130" spans="1:2" x14ac:dyDescent="0.3">
      <c r="A130" s="21">
        <v>22</v>
      </c>
      <c r="B130" s="22">
        <v>-0.33400000000000019</v>
      </c>
    </row>
    <row r="131" spans="1:2" x14ac:dyDescent="0.3">
      <c r="A131" s="21">
        <v>26</v>
      </c>
      <c r="B131" s="22">
        <v>-0.20800000000000018</v>
      </c>
    </row>
    <row r="132" spans="1:2" x14ac:dyDescent="0.3">
      <c r="A132" s="21">
        <v>27</v>
      </c>
      <c r="B132" s="22">
        <v>0.45999999999999996</v>
      </c>
    </row>
    <row r="133" spans="1:2" x14ac:dyDescent="0.3">
      <c r="A133" s="21">
        <v>30</v>
      </c>
      <c r="B133" s="22">
        <v>-0.20800000000000018</v>
      </c>
    </row>
    <row r="134" spans="1:2" x14ac:dyDescent="0.3">
      <c r="A134" s="21">
        <v>33</v>
      </c>
      <c r="B134" s="22">
        <v>-0.7430000000000001</v>
      </c>
    </row>
    <row r="135" spans="1:2" x14ac:dyDescent="0.3">
      <c r="A135" s="21">
        <v>35</v>
      </c>
      <c r="B135" s="22">
        <v>-0.20800000000000018</v>
      </c>
    </row>
    <row r="136" spans="1:2" x14ac:dyDescent="0.3">
      <c r="A136" s="21">
        <v>37</v>
      </c>
      <c r="B136" s="22">
        <v>0.41899999999999982</v>
      </c>
    </row>
    <row r="137" spans="1:2" x14ac:dyDescent="0.3">
      <c r="A137" s="21">
        <v>40</v>
      </c>
      <c r="B137" s="22">
        <v>-0.16000000000000014</v>
      </c>
    </row>
    <row r="138" spans="1:2" x14ac:dyDescent="0.3">
      <c r="A138" s="21">
        <v>42</v>
      </c>
      <c r="B138" s="22">
        <v>3.3999999999999808E-2</v>
      </c>
    </row>
    <row r="139" spans="1:2" x14ac:dyDescent="0.3">
      <c r="A139" s="21">
        <v>44</v>
      </c>
      <c r="B139" s="22">
        <v>-0.81</v>
      </c>
    </row>
    <row r="140" spans="1:2" x14ac:dyDescent="0.3">
      <c r="A140" s="21">
        <v>45</v>
      </c>
      <c r="B140" s="22">
        <v>-0.29600000000000026</v>
      </c>
    </row>
    <row r="141" spans="1:2" x14ac:dyDescent="0.3">
      <c r="A141" s="21">
        <v>55</v>
      </c>
      <c r="B141" s="22">
        <v>-7.2000000000000286E-2</v>
      </c>
    </row>
    <row r="142" spans="1:2" x14ac:dyDescent="0.3">
      <c r="A142" s="21">
        <v>90</v>
      </c>
      <c r="B142" s="22">
        <v>6.6000000000000059E-2</v>
      </c>
    </row>
    <row r="143" spans="1:2" x14ac:dyDescent="0.3">
      <c r="A143" s="21">
        <v>101</v>
      </c>
      <c r="B143" s="22">
        <v>0.248</v>
      </c>
    </row>
    <row r="144" spans="1:2" x14ac:dyDescent="0.3">
      <c r="A144" s="21">
        <v>106</v>
      </c>
      <c r="B144" s="22">
        <v>-0.62999999999999989</v>
      </c>
    </row>
    <row r="145" spans="1:2" x14ac:dyDescent="0.3">
      <c r="A145" s="21">
        <v>126</v>
      </c>
      <c r="B145" s="22">
        <v>-2.8000000000000025E-2</v>
      </c>
    </row>
    <row r="146" spans="1:2" x14ac:dyDescent="0.3">
      <c r="A146" s="21">
        <v>129</v>
      </c>
      <c r="B146" s="22">
        <v>0.25600000000000001</v>
      </c>
    </row>
    <row r="147" spans="1:2" x14ac:dyDescent="0.3">
      <c r="A147" s="21">
        <v>131</v>
      </c>
      <c r="B147" s="22">
        <v>1.02</v>
      </c>
    </row>
    <row r="148" spans="1:2" x14ac:dyDescent="0.3">
      <c r="A148" s="21">
        <v>132</v>
      </c>
      <c r="B148" s="22">
        <v>0.20999999999999996</v>
      </c>
    </row>
    <row r="149" spans="1:2" x14ac:dyDescent="0.3">
      <c r="A149" s="21">
        <v>133</v>
      </c>
      <c r="B149" s="22">
        <v>-0.40000000000000013</v>
      </c>
    </row>
    <row r="150" spans="1:2" x14ac:dyDescent="0.3">
      <c r="A150" s="21">
        <v>135</v>
      </c>
      <c r="B150" s="22">
        <v>0.25600000000000001</v>
      </c>
    </row>
    <row r="151" spans="1:2" x14ac:dyDescent="0.3">
      <c r="A151" s="21">
        <v>140</v>
      </c>
      <c r="B151" s="22">
        <v>-0.43999999999999995</v>
      </c>
    </row>
    <row r="152" spans="1:2" x14ac:dyDescent="0.3">
      <c r="A152" s="21">
        <v>148</v>
      </c>
      <c r="B152" s="22">
        <v>-0.10999999999999988</v>
      </c>
    </row>
    <row r="153" spans="1:2" x14ac:dyDescent="0.3">
      <c r="A153" s="21">
        <v>153</v>
      </c>
      <c r="B153" s="22">
        <v>-0.52</v>
      </c>
    </row>
    <row r="154" spans="1:2" x14ac:dyDescent="0.3">
      <c r="A154" s="21">
        <v>157</v>
      </c>
      <c r="B154" s="22">
        <v>-0.54999999999999982</v>
      </c>
    </row>
    <row r="155" spans="1:2" x14ac:dyDescent="0.3">
      <c r="A155" s="21">
        <v>164</v>
      </c>
      <c r="B155" s="22">
        <v>0.51800000000000002</v>
      </c>
    </row>
    <row r="156" spans="1:2" x14ac:dyDescent="0.3">
      <c r="A156" s="21">
        <v>202</v>
      </c>
      <c r="B156" s="22">
        <v>-6.0000000000000053E-2</v>
      </c>
    </row>
    <row r="157" spans="1:2" x14ac:dyDescent="0.3">
      <c r="A157" s="21">
        <v>252</v>
      </c>
      <c r="B157" s="22">
        <v>-0.21999999999999975</v>
      </c>
    </row>
    <row r="158" spans="1:2" x14ac:dyDescent="0.3">
      <c r="A158" s="21">
        <v>267</v>
      </c>
      <c r="B158" s="22">
        <v>-0.31999999999999984</v>
      </c>
    </row>
    <row r="159" spans="1:2" x14ac:dyDescent="0.3">
      <c r="A159" s="21">
        <v>291</v>
      </c>
      <c r="B159" s="22">
        <v>0.31000000000000005</v>
      </c>
    </row>
    <row r="160" spans="1:2" x14ac:dyDescent="0.3">
      <c r="A160" s="21">
        <v>328</v>
      </c>
      <c r="B160" s="22">
        <v>0.26999999999999957</v>
      </c>
    </row>
    <row r="161" spans="1:2" x14ac:dyDescent="0.3">
      <c r="A161" s="20" t="s">
        <v>68</v>
      </c>
      <c r="B161" s="22">
        <v>3.0318181818181841E-2</v>
      </c>
    </row>
    <row r="162" spans="1:2" x14ac:dyDescent="0.3">
      <c r="A162" s="21">
        <v>129</v>
      </c>
      <c r="B162" s="22">
        <v>0.8400000000000003</v>
      </c>
    </row>
    <row r="163" spans="1:2" x14ac:dyDescent="0.3">
      <c r="A163" s="21">
        <v>136</v>
      </c>
      <c r="B163" s="22">
        <v>0.63000000000000012</v>
      </c>
    </row>
    <row r="164" spans="1:2" x14ac:dyDescent="0.3">
      <c r="A164" s="21">
        <v>142</v>
      </c>
      <c r="B164" s="22">
        <v>-4.8000000000000043E-2</v>
      </c>
    </row>
    <row r="165" spans="1:2" x14ac:dyDescent="0.3">
      <c r="A165" s="21">
        <v>152</v>
      </c>
      <c r="B165" s="22">
        <v>2.000000000000024E-2</v>
      </c>
    </row>
    <row r="166" spans="1:2" x14ac:dyDescent="0.3">
      <c r="A166" s="21">
        <v>153</v>
      </c>
      <c r="B166" s="22">
        <v>0.13800000000000012</v>
      </c>
    </row>
    <row r="167" spans="1:2" x14ac:dyDescent="0.3">
      <c r="A167" s="21">
        <v>157</v>
      </c>
      <c r="B167" s="22">
        <v>0.19200000000000017</v>
      </c>
    </row>
    <row r="168" spans="1:2" x14ac:dyDescent="0.3">
      <c r="A168" s="21">
        <v>166</v>
      </c>
      <c r="B168" s="22">
        <v>-0.24000000000000021</v>
      </c>
    </row>
    <row r="169" spans="1:2" x14ac:dyDescent="0.3">
      <c r="A169" s="21">
        <v>167</v>
      </c>
      <c r="B169" s="22">
        <v>-0.54</v>
      </c>
    </row>
    <row r="170" spans="1:2" x14ac:dyDescent="0.3">
      <c r="A170" s="21">
        <v>168</v>
      </c>
      <c r="B170" s="22">
        <v>-5.0000000000000044E-2</v>
      </c>
    </row>
    <row r="171" spans="1:2" x14ac:dyDescent="0.3">
      <c r="A171" s="21">
        <v>171</v>
      </c>
      <c r="B171" s="22">
        <v>-0.16500000000000004</v>
      </c>
    </row>
    <row r="172" spans="1:2" x14ac:dyDescent="0.3">
      <c r="A172" s="21">
        <v>175</v>
      </c>
      <c r="B172" s="22">
        <v>-0.50499999999999989</v>
      </c>
    </row>
    <row r="173" spans="1:2" x14ac:dyDescent="0.3">
      <c r="A173" s="21">
        <v>183</v>
      </c>
      <c r="B173" s="22">
        <v>-0.69499999999999984</v>
      </c>
    </row>
    <row r="174" spans="1:2" x14ac:dyDescent="0.3">
      <c r="A174" s="21">
        <v>186</v>
      </c>
      <c r="B174" s="22">
        <v>0.29500000000000004</v>
      </c>
    </row>
    <row r="175" spans="1:2" x14ac:dyDescent="0.3">
      <c r="A175" s="21">
        <v>188</v>
      </c>
      <c r="B175" s="22">
        <v>-0.23499999999999988</v>
      </c>
    </row>
    <row r="176" spans="1:2" x14ac:dyDescent="0.3">
      <c r="A176" s="21">
        <v>189</v>
      </c>
      <c r="B176" s="22">
        <v>9.2000000000000082E-2</v>
      </c>
    </row>
    <row r="177" spans="1:2" x14ac:dyDescent="0.3">
      <c r="A177" s="21">
        <v>190</v>
      </c>
      <c r="B177" s="22">
        <v>-0.46999999999999975</v>
      </c>
    </row>
    <row r="178" spans="1:2" x14ac:dyDescent="0.3">
      <c r="A178" s="21">
        <v>195</v>
      </c>
      <c r="B178" s="22">
        <v>0.7330000000000001</v>
      </c>
    </row>
    <row r="179" spans="1:2" x14ac:dyDescent="0.3">
      <c r="A179" s="21">
        <v>208</v>
      </c>
      <c r="B179" s="22">
        <v>0.45799999999999996</v>
      </c>
    </row>
    <row r="180" spans="1:2" x14ac:dyDescent="0.3">
      <c r="A180" s="21">
        <v>221</v>
      </c>
      <c r="B180" s="22">
        <v>-0.18999999999999995</v>
      </c>
    </row>
    <row r="181" spans="1:2" x14ac:dyDescent="0.3">
      <c r="A181" s="21">
        <v>222</v>
      </c>
      <c r="B181" s="22">
        <v>-0.37999999999999989</v>
      </c>
    </row>
    <row r="182" spans="1:2" x14ac:dyDescent="0.3">
      <c r="A182" s="21">
        <v>226</v>
      </c>
      <c r="B182" s="22">
        <v>0.10199999999999987</v>
      </c>
    </row>
    <row r="183" spans="1:2" x14ac:dyDescent="0.3">
      <c r="A183" s="21">
        <v>227</v>
      </c>
      <c r="B183" s="22">
        <v>-0.37999999999999989</v>
      </c>
    </row>
    <row r="184" spans="1:2" x14ac:dyDescent="0.3">
      <c r="A184" s="21">
        <v>277</v>
      </c>
      <c r="B184" s="22">
        <v>-1.0899999999999999</v>
      </c>
    </row>
    <row r="185" spans="1:2" x14ac:dyDescent="0.3">
      <c r="A185" s="21">
        <v>301</v>
      </c>
      <c r="B185" s="22">
        <v>0.37433333333333335</v>
      </c>
    </row>
    <row r="186" spans="1:2" x14ac:dyDescent="0.3">
      <c r="A186" s="21">
        <v>308</v>
      </c>
      <c r="B186" s="22">
        <v>-0.32499999999999973</v>
      </c>
    </row>
    <row r="187" spans="1:2" x14ac:dyDescent="0.3">
      <c r="A187" s="21">
        <v>309</v>
      </c>
      <c r="B187" s="22">
        <v>0.43500000000000028</v>
      </c>
    </row>
    <row r="188" spans="1:2" x14ac:dyDescent="0.3">
      <c r="A188" s="21">
        <v>322</v>
      </c>
      <c r="B188" s="22">
        <v>-6.999999999999984E-2</v>
      </c>
    </row>
    <row r="189" spans="1:2" x14ac:dyDescent="0.3">
      <c r="A189" s="21">
        <v>323</v>
      </c>
      <c r="B189" s="22">
        <v>0.30000000000000027</v>
      </c>
    </row>
    <row r="190" spans="1:2" x14ac:dyDescent="0.3">
      <c r="A190" s="21">
        <v>329</v>
      </c>
      <c r="B190" s="22">
        <v>-0.22999999999999998</v>
      </c>
    </row>
    <row r="191" spans="1:2" x14ac:dyDescent="0.3">
      <c r="A191" s="21">
        <v>332</v>
      </c>
      <c r="B191" s="22">
        <v>-6.0000000000000053E-2</v>
      </c>
    </row>
    <row r="192" spans="1:2" x14ac:dyDescent="0.3">
      <c r="A192" s="21">
        <v>335</v>
      </c>
      <c r="B192" s="22">
        <v>-0.26666666666666677</v>
      </c>
    </row>
    <row r="193" spans="1:2" x14ac:dyDescent="0.3">
      <c r="A193" s="21">
        <v>344</v>
      </c>
      <c r="B193" s="22">
        <v>-5.6666666666666789E-2</v>
      </c>
    </row>
    <row r="194" spans="1:2" x14ac:dyDescent="0.3">
      <c r="A194" s="21">
        <v>351</v>
      </c>
      <c r="B194" s="22">
        <v>2.4999999999999911E-2</v>
      </c>
    </row>
    <row r="195" spans="1:2" x14ac:dyDescent="0.3">
      <c r="A195" s="21">
        <v>352</v>
      </c>
      <c r="B195" s="22">
        <v>8.9999999999999858E-2</v>
      </c>
    </row>
    <row r="196" spans="1:2" x14ac:dyDescent="0.3">
      <c r="A196" s="21">
        <v>354</v>
      </c>
      <c r="B196" s="22">
        <v>0.14000000000000012</v>
      </c>
    </row>
    <row r="197" spans="1:2" x14ac:dyDescent="0.3">
      <c r="A197" s="21">
        <v>359</v>
      </c>
      <c r="B197" s="22">
        <v>-0.10499999999999998</v>
      </c>
    </row>
    <row r="198" spans="1:2" x14ac:dyDescent="0.3">
      <c r="A198" s="21">
        <v>363</v>
      </c>
      <c r="B198" s="22">
        <v>0.17500000000000027</v>
      </c>
    </row>
    <row r="199" spans="1:2" x14ac:dyDescent="0.3">
      <c r="A199" s="21">
        <v>377</v>
      </c>
      <c r="B199" s="22">
        <v>8.9999999999999858E-2</v>
      </c>
    </row>
    <row r="200" spans="1:2" x14ac:dyDescent="0.3">
      <c r="A200" s="21">
        <v>378</v>
      </c>
      <c r="B200" s="22">
        <v>0.20500000000000007</v>
      </c>
    </row>
    <row r="201" spans="1:2" x14ac:dyDescent="0.3">
      <c r="A201" s="21">
        <v>382</v>
      </c>
      <c r="B201" s="22">
        <v>2.4999999999999911E-2</v>
      </c>
    </row>
    <row r="202" spans="1:2" x14ac:dyDescent="0.3">
      <c r="A202" s="21">
        <v>383</v>
      </c>
      <c r="B202" s="22">
        <v>9.4999999999999751E-2</v>
      </c>
    </row>
    <row r="203" spans="1:2" x14ac:dyDescent="0.3">
      <c r="A203" s="21">
        <v>387</v>
      </c>
      <c r="B203" s="22">
        <v>-5.0000000000000488E-2</v>
      </c>
    </row>
    <row r="204" spans="1:2" x14ac:dyDescent="0.3">
      <c r="A204" s="21">
        <v>394</v>
      </c>
      <c r="B204" s="22">
        <v>-3.0000000000000249E-2</v>
      </c>
    </row>
    <row r="205" spans="1:2" x14ac:dyDescent="0.3">
      <c r="A205" s="21">
        <v>398</v>
      </c>
      <c r="B205" s="22">
        <v>-0.39750000000000019</v>
      </c>
    </row>
    <row r="206" spans="1:2" x14ac:dyDescent="0.3">
      <c r="A206" s="21">
        <v>399</v>
      </c>
      <c r="B206" s="22">
        <v>-3.3333333333314857E-4</v>
      </c>
    </row>
    <row r="207" spans="1:2" x14ac:dyDescent="0.3">
      <c r="A207" s="21">
        <v>400</v>
      </c>
      <c r="B207" s="22">
        <v>9.3499999999999694E-2</v>
      </c>
    </row>
    <row r="208" spans="1:2" x14ac:dyDescent="0.3">
      <c r="A208" s="21">
        <v>402</v>
      </c>
      <c r="B208" s="22">
        <v>0</v>
      </c>
    </row>
    <row r="209" spans="1:2" x14ac:dyDescent="0.3">
      <c r="A209" s="21">
        <v>404</v>
      </c>
      <c r="B209" s="22">
        <v>0.22999999999999998</v>
      </c>
    </row>
    <row r="210" spans="1:2" x14ac:dyDescent="0.3">
      <c r="A210" s="21">
        <v>408</v>
      </c>
      <c r="B210" s="22">
        <v>0.19999999999999996</v>
      </c>
    </row>
    <row r="211" spans="1:2" x14ac:dyDescent="0.3">
      <c r="A211" s="21">
        <v>410</v>
      </c>
      <c r="B211" s="22">
        <v>8.0000000000000071E-2</v>
      </c>
    </row>
    <row r="212" spans="1:2" x14ac:dyDescent="0.3">
      <c r="A212" s="21">
        <v>411</v>
      </c>
      <c r="B212" s="22">
        <v>0.16999999999999993</v>
      </c>
    </row>
    <row r="213" spans="1:2" x14ac:dyDescent="0.3">
      <c r="A213" s="21">
        <v>412</v>
      </c>
      <c r="B213" s="22">
        <v>0.16999999999999993</v>
      </c>
    </row>
    <row r="214" spans="1:2" x14ac:dyDescent="0.3">
      <c r="A214" s="21">
        <v>413</v>
      </c>
      <c r="B214" s="22">
        <v>0.16999999999999993</v>
      </c>
    </row>
    <row r="215" spans="1:2" x14ac:dyDescent="0.3">
      <c r="A215" s="21">
        <v>420</v>
      </c>
      <c r="B215" s="22">
        <v>-0.16333333333333325</v>
      </c>
    </row>
    <row r="216" spans="1:2" x14ac:dyDescent="0.3">
      <c r="A216" s="21">
        <v>421</v>
      </c>
      <c r="B216" s="22">
        <v>-2.0000000000000018E-2</v>
      </c>
    </row>
    <row r="217" spans="1:2" x14ac:dyDescent="0.3">
      <c r="A217" s="21">
        <v>424</v>
      </c>
      <c r="B217" s="22">
        <v>0.37000000000000011</v>
      </c>
    </row>
    <row r="218" spans="1:2" x14ac:dyDescent="0.3">
      <c r="A218" s="21">
        <v>427</v>
      </c>
      <c r="B218" s="22">
        <v>-2.0000000000000018E-2</v>
      </c>
    </row>
    <row r="219" spans="1:2" x14ac:dyDescent="0.3">
      <c r="A219" s="21">
        <v>432</v>
      </c>
      <c r="B219" s="22">
        <v>-0.5950000000000002</v>
      </c>
    </row>
    <row r="220" spans="1:2" x14ac:dyDescent="0.3">
      <c r="A220" s="21">
        <v>434</v>
      </c>
      <c r="B220" s="22">
        <v>-9.5000000000000195E-2</v>
      </c>
    </row>
    <row r="221" spans="1:2" x14ac:dyDescent="0.3">
      <c r="A221" s="21">
        <v>439</v>
      </c>
      <c r="B221" s="22">
        <v>0.14499999999999957</v>
      </c>
    </row>
    <row r="222" spans="1:2" x14ac:dyDescent="0.3">
      <c r="A222" s="21">
        <v>441</v>
      </c>
      <c r="B222" s="22">
        <v>-0.63999999999999968</v>
      </c>
    </row>
    <row r="223" spans="1:2" x14ac:dyDescent="0.3">
      <c r="A223" s="21">
        <v>446</v>
      </c>
      <c r="B223" s="22">
        <v>0.30000000000000027</v>
      </c>
    </row>
    <row r="224" spans="1:2" x14ac:dyDescent="0.3">
      <c r="A224" s="21">
        <v>447</v>
      </c>
      <c r="B224" s="22">
        <v>0.20000000000000018</v>
      </c>
    </row>
    <row r="225" spans="1:2" x14ac:dyDescent="0.3">
      <c r="A225" s="21">
        <v>455</v>
      </c>
      <c r="B225" s="22">
        <v>0.43499999999999961</v>
      </c>
    </row>
    <row r="226" spans="1:2" x14ac:dyDescent="0.3">
      <c r="A226" s="21">
        <v>460</v>
      </c>
      <c r="B226" s="22">
        <v>0.35000000000000009</v>
      </c>
    </row>
    <row r="227" spans="1:2" x14ac:dyDescent="0.3">
      <c r="A227" s="21">
        <v>475</v>
      </c>
      <c r="B227" s="22">
        <v>0.2849999999999997</v>
      </c>
    </row>
    <row r="228" spans="1:2" x14ac:dyDescent="0.3">
      <c r="A228" s="21">
        <v>478</v>
      </c>
      <c r="B228" s="22">
        <v>0.21999999999999975</v>
      </c>
    </row>
    <row r="229" spans="1:2" x14ac:dyDescent="0.3">
      <c r="A229" s="21">
        <v>487</v>
      </c>
      <c r="B229" s="22">
        <v>0.4075000000000002</v>
      </c>
    </row>
    <row r="230" spans="1:2" x14ac:dyDescent="0.3">
      <c r="A230" s="21">
        <v>501</v>
      </c>
      <c r="B230" s="22">
        <v>0.33000000000000052</v>
      </c>
    </row>
    <row r="231" spans="1:2" x14ac:dyDescent="0.3">
      <c r="A231" s="21">
        <v>507</v>
      </c>
      <c r="B231" s="22">
        <v>0.37500000000000022</v>
      </c>
    </row>
    <row r="232" spans="1:2" x14ac:dyDescent="0.3">
      <c r="A232" s="21">
        <v>511</v>
      </c>
      <c r="B232" s="22">
        <v>-0.17499999999999982</v>
      </c>
    </row>
    <row r="233" spans="1:2" x14ac:dyDescent="0.3">
      <c r="A233" s="21">
        <v>514</v>
      </c>
      <c r="B233" s="22">
        <v>0.42000000000000037</v>
      </c>
    </row>
    <row r="234" spans="1:2" x14ac:dyDescent="0.3">
      <c r="A234" s="21">
        <v>530</v>
      </c>
      <c r="B234" s="22">
        <v>-6.6666666666668206E-3</v>
      </c>
    </row>
    <row r="235" spans="1:2" x14ac:dyDescent="0.3">
      <c r="A235" s="21">
        <v>535</v>
      </c>
      <c r="B235" s="22">
        <v>0.4700000000000002</v>
      </c>
    </row>
    <row r="236" spans="1:2" x14ac:dyDescent="0.3">
      <c r="A236" s="21">
        <v>541</v>
      </c>
      <c r="B236" s="22">
        <v>-0.16500000000000004</v>
      </c>
    </row>
    <row r="237" spans="1:2" x14ac:dyDescent="0.3">
      <c r="A237" s="21">
        <v>542</v>
      </c>
      <c r="B237" s="22">
        <v>-0.41000000000000014</v>
      </c>
    </row>
    <row r="238" spans="1:2" x14ac:dyDescent="0.3">
      <c r="A238" s="21">
        <v>550</v>
      </c>
      <c r="B238" s="22">
        <v>0.16000000000000014</v>
      </c>
    </row>
    <row r="239" spans="1:2" x14ac:dyDescent="0.3">
      <c r="A239" s="21">
        <v>551</v>
      </c>
      <c r="B239" s="22">
        <v>-7.9999999999999627E-2</v>
      </c>
    </row>
    <row r="240" spans="1:2" x14ac:dyDescent="0.3">
      <c r="A240" s="21">
        <v>554</v>
      </c>
      <c r="B240" s="22">
        <v>-9.9999999999999645E-2</v>
      </c>
    </row>
    <row r="241" spans="1:2" x14ac:dyDescent="0.3">
      <c r="A241" s="21">
        <v>566</v>
      </c>
      <c r="B241" s="22">
        <v>0.13000000000000034</v>
      </c>
    </row>
    <row r="242" spans="1:2" x14ac:dyDescent="0.3">
      <c r="A242" s="21">
        <v>568</v>
      </c>
      <c r="B242" s="22">
        <v>0.5900000000000003</v>
      </c>
    </row>
    <row r="243" spans="1:2" x14ac:dyDescent="0.3">
      <c r="A243" s="21">
        <v>575</v>
      </c>
      <c r="B243" s="22">
        <v>-0.33999999999999986</v>
      </c>
    </row>
    <row r="244" spans="1:2" x14ac:dyDescent="0.3">
      <c r="A244" s="21">
        <v>577</v>
      </c>
      <c r="B244" s="22">
        <v>4.000000000000048E-2</v>
      </c>
    </row>
    <row r="245" spans="1:2" x14ac:dyDescent="0.3">
      <c r="A245" s="21">
        <v>612</v>
      </c>
      <c r="B245" s="22">
        <v>-0.20999999999999996</v>
      </c>
    </row>
    <row r="246" spans="1:2" x14ac:dyDescent="0.3">
      <c r="A246" s="20" t="s">
        <v>91</v>
      </c>
      <c r="B246" s="22">
        <v>-6.0126692456479794E-2</v>
      </c>
    </row>
  </sheetData>
  <mergeCells count="1">
    <mergeCell ref="H2:M2"/>
  </mergeCells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filterMode="1"/>
  <dimension ref="A1:M1587"/>
  <sheetViews>
    <sheetView topLeftCell="A112" workbookViewId="0">
      <selection activeCell="I88" sqref="I88"/>
    </sheetView>
  </sheetViews>
  <sheetFormatPr defaultRowHeight="14.4" x14ac:dyDescent="0.3"/>
  <cols>
    <col min="2" max="2" width="14.44140625" style="3" bestFit="1" customWidth="1"/>
    <col min="3" max="3" width="19.5546875" bestFit="1" customWidth="1"/>
  </cols>
  <sheetData>
    <row r="1" spans="1:13" x14ac:dyDescent="0.3">
      <c r="A1" t="s">
        <v>85</v>
      </c>
      <c r="B1" s="3" t="s">
        <v>1</v>
      </c>
      <c r="C1" t="s">
        <v>0</v>
      </c>
      <c r="D1" t="s">
        <v>6</v>
      </c>
      <c r="E1" t="s">
        <v>43</v>
      </c>
      <c r="F1" t="s">
        <v>4</v>
      </c>
      <c r="G1" t="s">
        <v>42</v>
      </c>
      <c r="H1" t="s">
        <v>89</v>
      </c>
      <c r="I1" t="s">
        <v>8</v>
      </c>
      <c r="J1" t="s">
        <v>44</v>
      </c>
      <c r="K1" t="s">
        <v>62</v>
      </c>
      <c r="L1" t="s">
        <v>84</v>
      </c>
      <c r="M1" t="s">
        <v>70</v>
      </c>
    </row>
    <row r="2" spans="1:13" x14ac:dyDescent="0.3">
      <c r="A2">
        <v>3</v>
      </c>
      <c r="B2" s="3">
        <v>43629.708333333336</v>
      </c>
      <c r="C2" t="s">
        <v>93</v>
      </c>
      <c r="D2">
        <v>18</v>
      </c>
      <c r="E2">
        <v>3</v>
      </c>
      <c r="F2">
        <v>1.08</v>
      </c>
      <c r="H2">
        <v>2</v>
      </c>
      <c r="I2" t="s">
        <v>50</v>
      </c>
      <c r="J2">
        <v>0.34000000000000008</v>
      </c>
      <c r="K2">
        <v>0</v>
      </c>
      <c r="L2">
        <f t="shared" ref="L2:L65" si="0">ROUND(H2,0)</f>
        <v>2</v>
      </c>
      <c r="M2">
        <f t="shared" ref="M2:M65" si="1">ROUND(H2*3,0)</f>
        <v>6</v>
      </c>
    </row>
    <row r="3" spans="1:13" hidden="1" x14ac:dyDescent="0.3">
      <c r="A3">
        <v>2</v>
      </c>
      <c r="B3" s="3">
        <v>43629.708333333336</v>
      </c>
      <c r="C3" t="s">
        <v>93</v>
      </c>
      <c r="D3">
        <v>18</v>
      </c>
      <c r="E3">
        <v>3</v>
      </c>
      <c r="F3">
        <v>1.08</v>
      </c>
      <c r="H3">
        <v>123.57830289999998</v>
      </c>
      <c r="I3" t="s">
        <v>48</v>
      </c>
      <c r="J3">
        <v>0.51</v>
      </c>
      <c r="K3">
        <v>2</v>
      </c>
      <c r="L3">
        <f t="shared" si="0"/>
        <v>124</v>
      </c>
      <c r="M3">
        <f t="shared" si="1"/>
        <v>371</v>
      </c>
    </row>
    <row r="4" spans="1:13" hidden="1" x14ac:dyDescent="0.3">
      <c r="A4">
        <v>1</v>
      </c>
      <c r="B4" s="3">
        <v>43629.708333333336</v>
      </c>
      <c r="C4" t="s">
        <v>93</v>
      </c>
      <c r="D4">
        <v>18</v>
      </c>
      <c r="E4">
        <v>3</v>
      </c>
      <c r="F4">
        <v>1.08</v>
      </c>
      <c r="H4">
        <v>407.91776089999996</v>
      </c>
      <c r="I4" t="s">
        <v>68</v>
      </c>
      <c r="J4">
        <v>0.22999999999999998</v>
      </c>
      <c r="K4">
        <v>0</v>
      </c>
      <c r="L4">
        <f t="shared" si="0"/>
        <v>408</v>
      </c>
      <c r="M4">
        <f t="shared" si="1"/>
        <v>1224</v>
      </c>
    </row>
    <row r="5" spans="1:13" x14ac:dyDescent="0.3">
      <c r="A5">
        <v>5</v>
      </c>
      <c r="B5" s="3">
        <v>43629.708333333336</v>
      </c>
      <c r="C5" t="s">
        <v>93</v>
      </c>
      <c r="D5">
        <v>17</v>
      </c>
      <c r="E5">
        <v>5</v>
      </c>
      <c r="F5">
        <v>-0.17999999999999972</v>
      </c>
      <c r="H5">
        <v>0.33333333333333331</v>
      </c>
      <c r="I5" t="s">
        <v>50</v>
      </c>
      <c r="J5">
        <v>1.0000000000000009E-2</v>
      </c>
      <c r="K5">
        <v>0</v>
      </c>
      <c r="L5">
        <f t="shared" si="0"/>
        <v>0</v>
      </c>
      <c r="M5">
        <f t="shared" si="1"/>
        <v>1</v>
      </c>
    </row>
    <row r="6" spans="1:13" x14ac:dyDescent="0.3">
      <c r="A6">
        <v>4</v>
      </c>
      <c r="B6" s="3">
        <v>43629.708333333336</v>
      </c>
      <c r="C6" t="s">
        <v>93</v>
      </c>
      <c r="D6">
        <v>17</v>
      </c>
      <c r="E6">
        <v>5</v>
      </c>
      <c r="F6">
        <v>-0.17999999999999972</v>
      </c>
      <c r="H6">
        <v>7.6552930999999997</v>
      </c>
      <c r="I6" t="s">
        <v>50</v>
      </c>
      <c r="J6">
        <v>-0.1160000000000001</v>
      </c>
      <c r="K6" t="s">
        <v>111</v>
      </c>
      <c r="L6">
        <f t="shared" si="0"/>
        <v>8</v>
      </c>
      <c r="M6">
        <f t="shared" si="1"/>
        <v>23</v>
      </c>
    </row>
    <row r="7" spans="1:13" hidden="1" x14ac:dyDescent="0.3">
      <c r="A7">
        <v>3</v>
      </c>
      <c r="B7" s="3">
        <v>43629.708333333336</v>
      </c>
      <c r="C7" t="s">
        <v>93</v>
      </c>
      <c r="D7">
        <v>17</v>
      </c>
      <c r="E7">
        <v>5</v>
      </c>
      <c r="F7">
        <v>-0.17999999999999972</v>
      </c>
      <c r="H7">
        <v>89.676290599999987</v>
      </c>
      <c r="I7" t="s">
        <v>47</v>
      </c>
      <c r="J7">
        <v>6.6000000000000059E-2</v>
      </c>
      <c r="K7">
        <v>7</v>
      </c>
      <c r="L7">
        <f t="shared" si="0"/>
        <v>90</v>
      </c>
      <c r="M7">
        <f t="shared" si="1"/>
        <v>269</v>
      </c>
    </row>
    <row r="8" spans="1:13" hidden="1" x14ac:dyDescent="0.3">
      <c r="A8">
        <v>2</v>
      </c>
      <c r="B8" s="3">
        <v>43629.708333333336</v>
      </c>
      <c r="C8" t="s">
        <v>93</v>
      </c>
      <c r="D8">
        <v>17</v>
      </c>
      <c r="E8">
        <v>5</v>
      </c>
      <c r="F8">
        <v>-0.17999999999999972</v>
      </c>
      <c r="H8">
        <v>251.53105899999997</v>
      </c>
      <c r="I8" t="s">
        <v>47</v>
      </c>
      <c r="J8">
        <v>-0.21999999999999975</v>
      </c>
      <c r="K8">
        <v>0</v>
      </c>
      <c r="L8">
        <f t="shared" si="0"/>
        <v>252</v>
      </c>
      <c r="M8">
        <f t="shared" si="1"/>
        <v>755</v>
      </c>
    </row>
    <row r="9" spans="1:13" hidden="1" x14ac:dyDescent="0.3">
      <c r="A9">
        <v>1</v>
      </c>
      <c r="B9" s="3">
        <v>43629.708333333336</v>
      </c>
      <c r="C9" t="s">
        <v>93</v>
      </c>
      <c r="D9">
        <v>17</v>
      </c>
      <c r="E9">
        <v>5</v>
      </c>
      <c r="F9">
        <v>-0.17999999999999972</v>
      </c>
      <c r="H9">
        <v>550.08748989999992</v>
      </c>
      <c r="I9" t="s">
        <v>68</v>
      </c>
      <c r="J9">
        <v>8.0000000000000071E-2</v>
      </c>
      <c r="K9">
        <v>6</v>
      </c>
      <c r="L9">
        <f t="shared" si="0"/>
        <v>550</v>
      </c>
      <c r="M9">
        <f t="shared" si="1"/>
        <v>1650</v>
      </c>
    </row>
    <row r="10" spans="1:13" x14ac:dyDescent="0.3">
      <c r="A10">
        <v>3</v>
      </c>
      <c r="B10" s="3">
        <v>43629.708333333336</v>
      </c>
      <c r="C10" t="s">
        <v>93</v>
      </c>
      <c r="D10">
        <v>16</v>
      </c>
      <c r="E10">
        <v>3</v>
      </c>
      <c r="F10">
        <v>0.12000000000000011</v>
      </c>
      <c r="H10">
        <v>0.33333333333333331</v>
      </c>
      <c r="I10" t="s">
        <v>50</v>
      </c>
      <c r="J10">
        <v>1.0000000000000009E-2</v>
      </c>
      <c r="K10">
        <v>0</v>
      </c>
      <c r="L10">
        <f t="shared" si="0"/>
        <v>0</v>
      </c>
      <c r="M10">
        <f t="shared" si="1"/>
        <v>1</v>
      </c>
    </row>
    <row r="11" spans="1:13" x14ac:dyDescent="0.3">
      <c r="A11">
        <v>2</v>
      </c>
      <c r="B11" s="3">
        <v>43629.708333333336</v>
      </c>
      <c r="C11" t="s">
        <v>93</v>
      </c>
      <c r="D11">
        <v>16</v>
      </c>
      <c r="E11">
        <v>3</v>
      </c>
      <c r="F11">
        <v>0.12000000000000011</v>
      </c>
      <c r="H11">
        <v>6.5616797999999994</v>
      </c>
      <c r="I11" t="s">
        <v>50</v>
      </c>
      <c r="J11">
        <v>-0.15799999999999992</v>
      </c>
      <c r="K11" t="s">
        <v>113</v>
      </c>
      <c r="L11">
        <f t="shared" si="0"/>
        <v>7</v>
      </c>
      <c r="M11">
        <f t="shared" si="1"/>
        <v>20</v>
      </c>
    </row>
    <row r="12" spans="1:13" hidden="1" x14ac:dyDescent="0.3">
      <c r="A12">
        <v>1</v>
      </c>
      <c r="B12" s="3">
        <v>43629.708333333336</v>
      </c>
      <c r="C12" t="s">
        <v>93</v>
      </c>
      <c r="D12">
        <v>16</v>
      </c>
      <c r="E12">
        <v>3</v>
      </c>
      <c r="F12">
        <v>0.12000000000000011</v>
      </c>
      <c r="H12">
        <v>185.91426099999998</v>
      </c>
      <c r="I12" t="s">
        <v>68</v>
      </c>
      <c r="J12">
        <v>0.26800000000000002</v>
      </c>
      <c r="K12">
        <v>6</v>
      </c>
      <c r="L12">
        <f t="shared" si="0"/>
        <v>186</v>
      </c>
      <c r="M12">
        <f t="shared" si="1"/>
        <v>558</v>
      </c>
    </row>
    <row r="13" spans="1:13" x14ac:dyDescent="0.3">
      <c r="A13">
        <v>5</v>
      </c>
      <c r="B13" s="3">
        <v>43629.708333333336</v>
      </c>
      <c r="C13" t="s">
        <v>93</v>
      </c>
      <c r="D13">
        <v>15</v>
      </c>
      <c r="E13">
        <v>5</v>
      </c>
      <c r="F13">
        <v>-0.30499999999999972</v>
      </c>
      <c r="H13">
        <v>0.66666666666666663</v>
      </c>
      <c r="I13" t="s">
        <v>50</v>
      </c>
      <c r="J13">
        <v>1.0000000000000009E-2</v>
      </c>
      <c r="K13">
        <v>0</v>
      </c>
      <c r="L13">
        <f t="shared" si="0"/>
        <v>1</v>
      </c>
      <c r="M13">
        <f t="shared" si="1"/>
        <v>2</v>
      </c>
    </row>
    <row r="14" spans="1:13" x14ac:dyDescent="0.3">
      <c r="A14">
        <v>4</v>
      </c>
      <c r="B14" s="3">
        <v>43629.708333333336</v>
      </c>
      <c r="C14" t="s">
        <v>93</v>
      </c>
      <c r="D14">
        <v>15</v>
      </c>
      <c r="E14">
        <v>5</v>
      </c>
      <c r="F14">
        <v>-0.30499999999999972</v>
      </c>
      <c r="H14">
        <v>6.5616797999999994</v>
      </c>
      <c r="I14" t="s">
        <v>50</v>
      </c>
      <c r="J14">
        <v>-0.15799999999999992</v>
      </c>
      <c r="K14" t="s">
        <v>114</v>
      </c>
      <c r="L14">
        <f t="shared" si="0"/>
        <v>7</v>
      </c>
      <c r="M14">
        <f t="shared" si="1"/>
        <v>20</v>
      </c>
    </row>
    <row r="15" spans="1:13" hidden="1" x14ac:dyDescent="0.3">
      <c r="A15">
        <v>3</v>
      </c>
      <c r="B15" s="3">
        <v>43629.708333333336</v>
      </c>
      <c r="C15" t="s">
        <v>93</v>
      </c>
      <c r="D15">
        <v>15</v>
      </c>
      <c r="E15">
        <v>5</v>
      </c>
      <c r="F15">
        <v>-0.30499999999999972</v>
      </c>
      <c r="H15">
        <v>15.310586199999999</v>
      </c>
      <c r="I15" t="s">
        <v>49</v>
      </c>
      <c r="J15">
        <v>-0.37200000000000011</v>
      </c>
      <c r="K15">
        <v>0</v>
      </c>
      <c r="L15">
        <f t="shared" si="0"/>
        <v>15</v>
      </c>
      <c r="M15">
        <f t="shared" si="1"/>
        <v>46</v>
      </c>
    </row>
    <row r="16" spans="1:13" hidden="1" x14ac:dyDescent="0.3">
      <c r="A16">
        <v>2</v>
      </c>
      <c r="B16" s="3">
        <v>43629.708333333336</v>
      </c>
      <c r="C16" t="s">
        <v>93</v>
      </c>
      <c r="D16">
        <v>15</v>
      </c>
      <c r="E16">
        <v>5</v>
      </c>
      <c r="F16">
        <v>-0.30499999999999972</v>
      </c>
      <c r="H16">
        <v>199.03762059999997</v>
      </c>
      <c r="I16" t="s">
        <v>48</v>
      </c>
      <c r="J16">
        <v>-0.29000000000000004</v>
      </c>
      <c r="K16">
        <v>14</v>
      </c>
      <c r="L16">
        <f t="shared" si="0"/>
        <v>199</v>
      </c>
      <c r="M16">
        <f t="shared" si="1"/>
        <v>597</v>
      </c>
    </row>
    <row r="17" spans="1:13" hidden="1" x14ac:dyDescent="0.3">
      <c r="A17">
        <v>1</v>
      </c>
      <c r="B17" s="3">
        <v>43629.708333333336</v>
      </c>
      <c r="C17" t="s">
        <v>93</v>
      </c>
      <c r="D17">
        <v>15</v>
      </c>
      <c r="E17">
        <v>5</v>
      </c>
      <c r="F17">
        <v>-0.30499999999999972</v>
      </c>
      <c r="H17">
        <v>507.43657119999995</v>
      </c>
      <c r="I17" t="s">
        <v>68</v>
      </c>
      <c r="J17">
        <v>0.50500000000000034</v>
      </c>
      <c r="K17">
        <v>0</v>
      </c>
      <c r="L17">
        <f t="shared" si="0"/>
        <v>507</v>
      </c>
      <c r="M17">
        <f t="shared" si="1"/>
        <v>1522</v>
      </c>
    </row>
    <row r="18" spans="1:13" x14ac:dyDescent="0.3">
      <c r="A18">
        <v>4</v>
      </c>
      <c r="B18" s="3">
        <v>43629.708333333336</v>
      </c>
      <c r="C18" t="s">
        <v>93</v>
      </c>
      <c r="D18">
        <v>14</v>
      </c>
      <c r="E18">
        <v>4</v>
      </c>
      <c r="F18">
        <v>1.9999999999999574E-2</v>
      </c>
      <c r="H18">
        <v>0.66666666666666663</v>
      </c>
      <c r="I18" t="s">
        <v>50</v>
      </c>
      <c r="J18">
        <v>1.0000000000000009E-2</v>
      </c>
      <c r="K18">
        <v>0</v>
      </c>
      <c r="L18">
        <f t="shared" si="0"/>
        <v>1</v>
      </c>
      <c r="M18">
        <f t="shared" si="1"/>
        <v>2</v>
      </c>
    </row>
    <row r="19" spans="1:13" x14ac:dyDescent="0.3">
      <c r="A19">
        <v>3</v>
      </c>
      <c r="B19" s="3">
        <v>43629.708333333336</v>
      </c>
      <c r="C19" t="s">
        <v>93</v>
      </c>
      <c r="D19">
        <v>14</v>
      </c>
      <c r="E19">
        <v>4</v>
      </c>
      <c r="F19">
        <v>1.9999999999999574E-2</v>
      </c>
      <c r="H19">
        <v>7.6552930999999997</v>
      </c>
      <c r="I19" t="s">
        <v>50</v>
      </c>
      <c r="J19">
        <v>-0.1160000000000001</v>
      </c>
      <c r="K19" t="s">
        <v>115</v>
      </c>
      <c r="L19">
        <f t="shared" si="0"/>
        <v>8</v>
      </c>
      <c r="M19">
        <f t="shared" si="1"/>
        <v>23</v>
      </c>
    </row>
    <row r="20" spans="1:13" hidden="1" x14ac:dyDescent="0.3">
      <c r="A20">
        <v>2</v>
      </c>
      <c r="B20" s="3">
        <v>43629.708333333336</v>
      </c>
      <c r="C20" t="s">
        <v>93</v>
      </c>
      <c r="D20">
        <v>14</v>
      </c>
      <c r="E20">
        <v>4</v>
      </c>
      <c r="F20">
        <v>1.9999999999999574E-2</v>
      </c>
      <c r="H20">
        <v>134.5144359</v>
      </c>
      <c r="I20" t="s">
        <v>48</v>
      </c>
      <c r="J20">
        <v>1.6000000000000236E-2</v>
      </c>
      <c r="K20">
        <v>0</v>
      </c>
      <c r="L20">
        <f t="shared" si="0"/>
        <v>135</v>
      </c>
      <c r="M20">
        <f t="shared" si="1"/>
        <v>404</v>
      </c>
    </row>
    <row r="21" spans="1:13" hidden="1" x14ac:dyDescent="0.3">
      <c r="A21">
        <v>1</v>
      </c>
      <c r="B21" s="3">
        <v>43629.708333333336</v>
      </c>
      <c r="C21" t="s">
        <v>93</v>
      </c>
      <c r="D21">
        <v>14</v>
      </c>
      <c r="E21">
        <v>4</v>
      </c>
      <c r="F21">
        <v>1.9999999999999574E-2</v>
      </c>
      <c r="H21">
        <v>387.13910819999995</v>
      </c>
      <c r="I21" t="s">
        <v>68</v>
      </c>
      <c r="J21">
        <v>0.10999999999999943</v>
      </c>
      <c r="K21">
        <v>0</v>
      </c>
      <c r="L21">
        <f t="shared" si="0"/>
        <v>387</v>
      </c>
      <c r="M21">
        <f t="shared" si="1"/>
        <v>1161</v>
      </c>
    </row>
    <row r="22" spans="1:13" x14ac:dyDescent="0.3">
      <c r="A22">
        <v>6</v>
      </c>
      <c r="B22" s="3">
        <v>43629.708333333336</v>
      </c>
      <c r="C22" t="s">
        <v>93</v>
      </c>
      <c r="D22">
        <v>13</v>
      </c>
      <c r="E22">
        <v>6</v>
      </c>
      <c r="F22">
        <v>-1.9169999999999998</v>
      </c>
      <c r="H22">
        <v>0.33333333333333331</v>
      </c>
      <c r="I22" t="s">
        <v>50</v>
      </c>
      <c r="J22">
        <v>1.0000000000000009E-2</v>
      </c>
      <c r="K22">
        <v>0</v>
      </c>
      <c r="L22">
        <f t="shared" si="0"/>
        <v>0</v>
      </c>
      <c r="M22">
        <f t="shared" si="1"/>
        <v>1</v>
      </c>
    </row>
    <row r="23" spans="1:13" x14ac:dyDescent="0.3">
      <c r="A23">
        <v>5</v>
      </c>
      <c r="B23" s="3">
        <v>43629.708333333336</v>
      </c>
      <c r="C23" t="s">
        <v>93</v>
      </c>
      <c r="D23">
        <v>13</v>
      </c>
      <c r="E23">
        <v>6</v>
      </c>
      <c r="F23">
        <v>-1.9169999999999998</v>
      </c>
      <c r="H23">
        <v>0.66666666666666663</v>
      </c>
      <c r="I23" t="s">
        <v>50</v>
      </c>
      <c r="J23">
        <v>-1</v>
      </c>
      <c r="K23" t="s">
        <v>115</v>
      </c>
      <c r="L23">
        <f t="shared" si="0"/>
        <v>1</v>
      </c>
      <c r="M23">
        <f t="shared" si="1"/>
        <v>2</v>
      </c>
    </row>
    <row r="24" spans="1:13" x14ac:dyDescent="0.3">
      <c r="A24">
        <v>4</v>
      </c>
      <c r="B24" s="3">
        <v>43629.708333333336</v>
      </c>
      <c r="C24" t="s">
        <v>93</v>
      </c>
      <c r="D24">
        <v>13</v>
      </c>
      <c r="E24">
        <v>6</v>
      </c>
      <c r="F24">
        <v>-1.9169999999999998</v>
      </c>
      <c r="H24">
        <v>1.3333333333333333</v>
      </c>
      <c r="I24" t="s">
        <v>50</v>
      </c>
      <c r="J24">
        <v>-0.88000000000000012</v>
      </c>
      <c r="K24">
        <v>0</v>
      </c>
      <c r="L24">
        <f t="shared" si="0"/>
        <v>1</v>
      </c>
      <c r="M24">
        <f t="shared" si="1"/>
        <v>4</v>
      </c>
    </row>
    <row r="25" spans="1:13" hidden="1" x14ac:dyDescent="0.3">
      <c r="A25">
        <v>3</v>
      </c>
      <c r="B25" s="3">
        <v>43629.708333333336</v>
      </c>
      <c r="C25" t="s">
        <v>93</v>
      </c>
      <c r="D25">
        <v>13</v>
      </c>
      <c r="E25">
        <v>6</v>
      </c>
      <c r="F25">
        <v>-1.9169999999999998</v>
      </c>
      <c r="H25">
        <v>21.872265999999996</v>
      </c>
      <c r="I25" t="s">
        <v>49</v>
      </c>
      <c r="J25">
        <v>0.39999999999999991</v>
      </c>
      <c r="K25">
        <v>0</v>
      </c>
      <c r="L25">
        <f t="shared" si="0"/>
        <v>22</v>
      </c>
      <c r="M25">
        <f t="shared" si="1"/>
        <v>66</v>
      </c>
    </row>
    <row r="26" spans="1:13" hidden="1" x14ac:dyDescent="0.3">
      <c r="A26">
        <v>2</v>
      </c>
      <c r="B26" s="3">
        <v>43629.708333333336</v>
      </c>
      <c r="C26" t="s">
        <v>93</v>
      </c>
      <c r="D26">
        <v>13</v>
      </c>
      <c r="E26">
        <v>6</v>
      </c>
      <c r="F26">
        <v>-1.9169999999999998</v>
      </c>
      <c r="H26">
        <v>188.10148759999998</v>
      </c>
      <c r="I26" t="s">
        <v>48</v>
      </c>
      <c r="J26">
        <v>-0.33999999999999986</v>
      </c>
      <c r="K26">
        <v>20</v>
      </c>
      <c r="L26">
        <f t="shared" si="0"/>
        <v>188</v>
      </c>
      <c r="M26">
        <f t="shared" si="1"/>
        <v>564</v>
      </c>
    </row>
    <row r="27" spans="1:13" hidden="1" x14ac:dyDescent="0.3">
      <c r="A27">
        <v>1</v>
      </c>
      <c r="B27" s="3">
        <v>43629.708333333336</v>
      </c>
      <c r="C27" t="s">
        <v>93</v>
      </c>
      <c r="D27">
        <v>13</v>
      </c>
      <c r="E27">
        <v>6</v>
      </c>
      <c r="F27">
        <v>-1.9169999999999998</v>
      </c>
      <c r="H27">
        <v>399.16885449999995</v>
      </c>
      <c r="I27" t="s">
        <v>68</v>
      </c>
      <c r="J27">
        <v>-0.10699999999999976</v>
      </c>
      <c r="K27">
        <v>0</v>
      </c>
      <c r="L27">
        <f t="shared" si="0"/>
        <v>399</v>
      </c>
      <c r="M27">
        <f t="shared" si="1"/>
        <v>1198</v>
      </c>
    </row>
    <row r="28" spans="1:13" x14ac:dyDescent="0.3">
      <c r="A28">
        <v>4</v>
      </c>
      <c r="B28" s="3">
        <v>43629.708333333336</v>
      </c>
      <c r="C28" t="s">
        <v>93</v>
      </c>
      <c r="D28">
        <v>12</v>
      </c>
      <c r="E28">
        <v>4</v>
      </c>
      <c r="F28">
        <v>0.16999999999999993</v>
      </c>
      <c r="H28">
        <v>1.3333333333333333</v>
      </c>
      <c r="I28" t="s">
        <v>50</v>
      </c>
      <c r="J28">
        <v>0.12999999999999989</v>
      </c>
      <c r="K28">
        <v>0</v>
      </c>
      <c r="L28">
        <f t="shared" si="0"/>
        <v>1</v>
      </c>
      <c r="M28">
        <f t="shared" si="1"/>
        <v>4</v>
      </c>
    </row>
    <row r="29" spans="1:13" x14ac:dyDescent="0.3">
      <c r="A29">
        <v>3</v>
      </c>
      <c r="B29" s="3">
        <v>43629.708333333336</v>
      </c>
      <c r="C29" t="s">
        <v>93</v>
      </c>
      <c r="D29">
        <v>12</v>
      </c>
      <c r="E29">
        <v>4</v>
      </c>
      <c r="F29">
        <v>0.16999999999999993</v>
      </c>
      <c r="H29">
        <v>13.123359599999999</v>
      </c>
      <c r="I29" t="s">
        <v>50</v>
      </c>
      <c r="J29">
        <v>-7.7999999999999847E-2</v>
      </c>
      <c r="K29" t="s">
        <v>115</v>
      </c>
      <c r="L29">
        <f t="shared" si="0"/>
        <v>13</v>
      </c>
      <c r="M29">
        <f t="shared" si="1"/>
        <v>39</v>
      </c>
    </row>
    <row r="30" spans="1:13" hidden="1" x14ac:dyDescent="0.3">
      <c r="A30">
        <v>2</v>
      </c>
      <c r="B30" s="3">
        <v>43629.708333333336</v>
      </c>
      <c r="C30" t="s">
        <v>93</v>
      </c>
      <c r="D30">
        <v>12</v>
      </c>
      <c r="E30">
        <v>4</v>
      </c>
      <c r="F30">
        <v>0.16999999999999993</v>
      </c>
      <c r="H30">
        <v>153.10586199999997</v>
      </c>
      <c r="I30" t="s">
        <v>48</v>
      </c>
      <c r="J30">
        <v>-7.2000000000000064E-2</v>
      </c>
      <c r="K30">
        <v>12</v>
      </c>
      <c r="L30">
        <f t="shared" si="0"/>
        <v>153</v>
      </c>
      <c r="M30">
        <f t="shared" si="1"/>
        <v>459</v>
      </c>
    </row>
    <row r="31" spans="1:13" hidden="1" x14ac:dyDescent="0.3">
      <c r="A31">
        <v>1</v>
      </c>
      <c r="B31" s="3">
        <v>43629.708333333336</v>
      </c>
      <c r="C31" t="s">
        <v>93</v>
      </c>
      <c r="D31">
        <v>12</v>
      </c>
      <c r="E31">
        <v>4</v>
      </c>
      <c r="F31">
        <v>0.16999999999999993</v>
      </c>
      <c r="H31">
        <v>426.50918699999994</v>
      </c>
      <c r="I31" t="s">
        <v>68</v>
      </c>
      <c r="J31">
        <v>0.18999999999999995</v>
      </c>
      <c r="K31">
        <v>0</v>
      </c>
      <c r="L31">
        <f t="shared" si="0"/>
        <v>427</v>
      </c>
      <c r="M31">
        <f t="shared" si="1"/>
        <v>1280</v>
      </c>
    </row>
    <row r="32" spans="1:13" x14ac:dyDescent="0.3">
      <c r="A32">
        <v>3</v>
      </c>
      <c r="B32" s="3">
        <v>43629.708333333336</v>
      </c>
      <c r="C32" t="s">
        <v>93</v>
      </c>
      <c r="D32">
        <v>11</v>
      </c>
      <c r="E32">
        <v>3</v>
      </c>
      <c r="F32">
        <v>0.12000000000000011</v>
      </c>
      <c r="H32">
        <v>1.3333333333333333</v>
      </c>
      <c r="I32" t="s">
        <v>50</v>
      </c>
      <c r="J32">
        <v>0.12999999999999989</v>
      </c>
      <c r="K32">
        <v>0</v>
      </c>
      <c r="L32">
        <f t="shared" si="0"/>
        <v>1</v>
      </c>
      <c r="M32">
        <f t="shared" si="1"/>
        <v>4</v>
      </c>
    </row>
    <row r="33" spans="1:13" x14ac:dyDescent="0.3">
      <c r="A33">
        <v>2</v>
      </c>
      <c r="B33" s="3">
        <v>43629.708333333336</v>
      </c>
      <c r="C33" t="s">
        <v>93</v>
      </c>
      <c r="D33">
        <v>11</v>
      </c>
      <c r="E33">
        <v>3</v>
      </c>
      <c r="F33">
        <v>0.12000000000000011</v>
      </c>
      <c r="H33">
        <v>12.029746299999999</v>
      </c>
      <c r="I33" t="s">
        <v>50</v>
      </c>
      <c r="J33">
        <v>-0.10199999999999987</v>
      </c>
      <c r="K33" t="s">
        <v>115</v>
      </c>
      <c r="L33">
        <f t="shared" si="0"/>
        <v>12</v>
      </c>
      <c r="M33">
        <f t="shared" si="1"/>
        <v>36</v>
      </c>
    </row>
    <row r="34" spans="1:13" hidden="1" x14ac:dyDescent="0.3">
      <c r="A34">
        <v>1</v>
      </c>
      <c r="B34" s="3">
        <v>43629.708333333336</v>
      </c>
      <c r="C34" t="s">
        <v>93</v>
      </c>
      <c r="D34">
        <v>11</v>
      </c>
      <c r="E34">
        <v>3</v>
      </c>
      <c r="F34">
        <v>0.12000000000000011</v>
      </c>
      <c r="H34">
        <v>189.19510089999997</v>
      </c>
      <c r="I34" t="s">
        <v>68</v>
      </c>
      <c r="J34">
        <v>9.2000000000000082E-2</v>
      </c>
      <c r="K34">
        <v>11</v>
      </c>
      <c r="L34">
        <f t="shared" si="0"/>
        <v>189</v>
      </c>
      <c r="M34">
        <f t="shared" si="1"/>
        <v>568</v>
      </c>
    </row>
    <row r="35" spans="1:13" x14ac:dyDescent="0.3">
      <c r="A35">
        <v>5</v>
      </c>
      <c r="B35" s="3">
        <v>43629.708333333336</v>
      </c>
      <c r="C35" t="s">
        <v>93</v>
      </c>
      <c r="D35">
        <v>10</v>
      </c>
      <c r="E35">
        <v>5</v>
      </c>
      <c r="F35">
        <v>-0.52500000000000036</v>
      </c>
      <c r="H35">
        <v>0.33333333333333331</v>
      </c>
      <c r="I35" t="s">
        <v>50</v>
      </c>
      <c r="J35">
        <v>1.0000000000000009E-2</v>
      </c>
      <c r="K35">
        <v>0</v>
      </c>
      <c r="L35">
        <f t="shared" si="0"/>
        <v>0</v>
      </c>
      <c r="M35">
        <f t="shared" si="1"/>
        <v>1</v>
      </c>
    </row>
    <row r="36" spans="1:13" x14ac:dyDescent="0.3">
      <c r="A36">
        <v>4</v>
      </c>
      <c r="B36" s="3">
        <v>43629.708333333336</v>
      </c>
      <c r="C36" t="s">
        <v>93</v>
      </c>
      <c r="D36">
        <v>10</v>
      </c>
      <c r="E36">
        <v>5</v>
      </c>
      <c r="F36">
        <v>-0.52500000000000036</v>
      </c>
      <c r="H36">
        <v>1.6666666666666667</v>
      </c>
      <c r="I36" t="s">
        <v>50</v>
      </c>
      <c r="J36">
        <v>-0.88000000000000012</v>
      </c>
      <c r="K36" t="s">
        <v>111</v>
      </c>
      <c r="L36">
        <f t="shared" si="0"/>
        <v>2</v>
      </c>
      <c r="M36">
        <f t="shared" si="1"/>
        <v>5</v>
      </c>
    </row>
    <row r="37" spans="1:13" hidden="1" x14ac:dyDescent="0.3">
      <c r="A37">
        <v>3</v>
      </c>
      <c r="B37" s="3">
        <v>43629.708333333336</v>
      </c>
      <c r="C37" t="s">
        <v>93</v>
      </c>
      <c r="D37">
        <v>10</v>
      </c>
      <c r="E37">
        <v>5</v>
      </c>
      <c r="F37">
        <v>-0.52500000000000036</v>
      </c>
      <c r="H37">
        <v>15.857392849999998</v>
      </c>
      <c r="I37" t="s">
        <v>47</v>
      </c>
      <c r="J37">
        <v>0.3400000000000003</v>
      </c>
      <c r="K37">
        <v>0</v>
      </c>
      <c r="L37">
        <f t="shared" si="0"/>
        <v>16</v>
      </c>
      <c r="M37">
        <f t="shared" si="1"/>
        <v>48</v>
      </c>
    </row>
    <row r="38" spans="1:13" hidden="1" x14ac:dyDescent="0.3">
      <c r="A38">
        <v>2</v>
      </c>
      <c r="B38" s="3">
        <v>43629.708333333336</v>
      </c>
      <c r="C38" t="s">
        <v>93</v>
      </c>
      <c r="D38">
        <v>10</v>
      </c>
      <c r="E38">
        <v>5</v>
      </c>
      <c r="F38">
        <v>-0.52500000000000036</v>
      </c>
      <c r="H38">
        <v>155.29308859999998</v>
      </c>
      <c r="I38" t="s">
        <v>48</v>
      </c>
      <c r="J38">
        <v>-0.49000000000000021</v>
      </c>
      <c r="K38">
        <v>0</v>
      </c>
      <c r="L38">
        <f t="shared" si="0"/>
        <v>155</v>
      </c>
      <c r="M38">
        <f t="shared" si="1"/>
        <v>466</v>
      </c>
    </row>
    <row r="39" spans="1:13" hidden="1" x14ac:dyDescent="0.3">
      <c r="A39">
        <v>1</v>
      </c>
      <c r="B39" s="3">
        <v>43629.708333333336</v>
      </c>
      <c r="C39" t="s">
        <v>93</v>
      </c>
      <c r="D39">
        <v>10</v>
      </c>
      <c r="E39">
        <v>5</v>
      </c>
      <c r="F39">
        <v>-0.52500000000000036</v>
      </c>
      <c r="H39">
        <v>477.90901209999998</v>
      </c>
      <c r="I39" t="s">
        <v>68</v>
      </c>
      <c r="J39">
        <v>0.49499999999999966</v>
      </c>
      <c r="K39">
        <v>0</v>
      </c>
      <c r="L39">
        <f t="shared" si="0"/>
        <v>478</v>
      </c>
      <c r="M39">
        <f t="shared" si="1"/>
        <v>1434</v>
      </c>
    </row>
    <row r="40" spans="1:13" x14ac:dyDescent="0.3">
      <c r="A40">
        <v>5</v>
      </c>
      <c r="B40" s="3">
        <v>43629.708333333336</v>
      </c>
      <c r="C40" t="s">
        <v>93</v>
      </c>
      <c r="D40">
        <v>9</v>
      </c>
      <c r="E40">
        <v>5</v>
      </c>
      <c r="F40">
        <v>-0.20999999999999996</v>
      </c>
      <c r="H40">
        <v>1</v>
      </c>
      <c r="I40" t="s">
        <v>50</v>
      </c>
      <c r="J40">
        <v>4.0000000000000036E-2</v>
      </c>
      <c r="K40">
        <v>0</v>
      </c>
      <c r="L40">
        <f t="shared" si="0"/>
        <v>1</v>
      </c>
      <c r="M40">
        <f t="shared" si="1"/>
        <v>3</v>
      </c>
    </row>
    <row r="41" spans="1:13" hidden="1" x14ac:dyDescent="0.3">
      <c r="A41">
        <v>4</v>
      </c>
      <c r="B41" s="3">
        <v>43629.708333333336</v>
      </c>
      <c r="C41" t="s">
        <v>93</v>
      </c>
      <c r="D41">
        <v>9</v>
      </c>
      <c r="E41">
        <v>5</v>
      </c>
      <c r="F41">
        <v>-0.20999999999999996</v>
      </c>
      <c r="H41">
        <v>26.246719199999998</v>
      </c>
      <c r="I41" t="s">
        <v>48</v>
      </c>
      <c r="J41">
        <v>0.35999999999999988</v>
      </c>
      <c r="K41">
        <v>0</v>
      </c>
      <c r="L41">
        <f t="shared" si="0"/>
        <v>26</v>
      </c>
      <c r="M41">
        <f t="shared" si="1"/>
        <v>79</v>
      </c>
    </row>
    <row r="42" spans="1:13" hidden="1" x14ac:dyDescent="0.3">
      <c r="A42">
        <v>3</v>
      </c>
      <c r="B42" s="3">
        <v>43629.708333333336</v>
      </c>
      <c r="C42" t="s">
        <v>93</v>
      </c>
      <c r="D42">
        <v>9</v>
      </c>
      <c r="E42">
        <v>5</v>
      </c>
      <c r="F42">
        <v>-0.20999999999999996</v>
      </c>
      <c r="H42">
        <v>133.42082259999998</v>
      </c>
      <c r="I42" t="s">
        <v>47</v>
      </c>
      <c r="J42">
        <v>-0.25</v>
      </c>
      <c r="K42">
        <v>0</v>
      </c>
      <c r="L42">
        <f t="shared" si="0"/>
        <v>133</v>
      </c>
      <c r="M42">
        <f t="shared" si="1"/>
        <v>400</v>
      </c>
    </row>
    <row r="43" spans="1:13" hidden="1" x14ac:dyDescent="0.3">
      <c r="A43">
        <v>2</v>
      </c>
      <c r="B43" s="3">
        <v>43629.708333333336</v>
      </c>
      <c r="C43" t="s">
        <v>93</v>
      </c>
      <c r="D43">
        <v>9</v>
      </c>
      <c r="E43">
        <v>5</v>
      </c>
      <c r="F43">
        <v>-0.20999999999999996</v>
      </c>
      <c r="H43">
        <v>266.84164519999996</v>
      </c>
      <c r="I43" t="s">
        <v>47</v>
      </c>
      <c r="J43">
        <v>-0.31999999999999984</v>
      </c>
      <c r="K43">
        <v>0</v>
      </c>
      <c r="L43">
        <f t="shared" si="0"/>
        <v>267</v>
      </c>
      <c r="M43">
        <f t="shared" si="1"/>
        <v>801</v>
      </c>
    </row>
    <row r="44" spans="1:13" hidden="1" x14ac:dyDescent="0.3">
      <c r="A44">
        <v>1</v>
      </c>
      <c r="B44" s="3">
        <v>43629.708333333336</v>
      </c>
      <c r="C44" t="s">
        <v>93</v>
      </c>
      <c r="D44">
        <v>9</v>
      </c>
      <c r="E44">
        <v>5</v>
      </c>
      <c r="F44">
        <v>-0.20999999999999996</v>
      </c>
      <c r="H44">
        <v>530.40245049999999</v>
      </c>
      <c r="I44" t="s">
        <v>68</v>
      </c>
      <c r="J44">
        <v>-4.0000000000000036E-2</v>
      </c>
      <c r="K44">
        <v>9</v>
      </c>
      <c r="L44">
        <f t="shared" si="0"/>
        <v>530</v>
      </c>
      <c r="M44">
        <f t="shared" si="1"/>
        <v>1591</v>
      </c>
    </row>
    <row r="45" spans="1:13" x14ac:dyDescent="0.3">
      <c r="A45">
        <v>3</v>
      </c>
      <c r="B45" s="3">
        <v>43629.708333333336</v>
      </c>
      <c r="C45" t="s">
        <v>93</v>
      </c>
      <c r="D45">
        <v>8</v>
      </c>
      <c r="E45">
        <v>3</v>
      </c>
      <c r="F45">
        <v>-9.9999999999997868E-3</v>
      </c>
      <c r="H45">
        <v>1</v>
      </c>
      <c r="I45" t="s">
        <v>50</v>
      </c>
      <c r="J45">
        <v>4.0000000000000036E-2</v>
      </c>
      <c r="K45">
        <v>0</v>
      </c>
      <c r="L45">
        <f t="shared" si="0"/>
        <v>1</v>
      </c>
      <c r="M45">
        <f t="shared" si="1"/>
        <v>3</v>
      </c>
    </row>
    <row r="46" spans="1:13" x14ac:dyDescent="0.3">
      <c r="A46">
        <v>2</v>
      </c>
      <c r="B46" s="3">
        <v>43629.708333333336</v>
      </c>
      <c r="C46" t="s">
        <v>93</v>
      </c>
      <c r="D46">
        <v>8</v>
      </c>
      <c r="E46">
        <v>3</v>
      </c>
      <c r="F46">
        <v>-9.9999999999997868E-3</v>
      </c>
      <c r="H46">
        <v>9.8425196999999987</v>
      </c>
      <c r="I46" t="s">
        <v>50</v>
      </c>
      <c r="J46">
        <v>-7.0000000000000062E-2</v>
      </c>
      <c r="K46" t="s">
        <v>113</v>
      </c>
      <c r="L46">
        <f t="shared" si="0"/>
        <v>10</v>
      </c>
      <c r="M46">
        <f t="shared" si="1"/>
        <v>30</v>
      </c>
    </row>
    <row r="47" spans="1:13" hidden="1" x14ac:dyDescent="0.3">
      <c r="A47">
        <v>1</v>
      </c>
      <c r="B47" s="3">
        <v>43629.708333333336</v>
      </c>
      <c r="C47" t="s">
        <v>93</v>
      </c>
      <c r="D47">
        <v>8</v>
      </c>
      <c r="E47">
        <v>3</v>
      </c>
      <c r="F47">
        <v>-9.9999999999997868E-3</v>
      </c>
      <c r="H47">
        <v>152.01224869999999</v>
      </c>
      <c r="I47" t="s">
        <v>68</v>
      </c>
      <c r="J47">
        <v>2.000000000000024E-2</v>
      </c>
      <c r="K47">
        <v>9</v>
      </c>
      <c r="L47">
        <f t="shared" si="0"/>
        <v>152</v>
      </c>
      <c r="M47">
        <f t="shared" si="1"/>
        <v>456</v>
      </c>
    </row>
    <row r="48" spans="1:13" x14ac:dyDescent="0.3">
      <c r="A48">
        <v>4</v>
      </c>
      <c r="B48" s="3">
        <v>43629.708333333336</v>
      </c>
      <c r="C48" t="s">
        <v>93</v>
      </c>
      <c r="D48">
        <v>7</v>
      </c>
      <c r="E48">
        <v>4</v>
      </c>
      <c r="F48">
        <v>0.41000000000000014</v>
      </c>
      <c r="H48">
        <v>0.33333333333333331</v>
      </c>
      <c r="I48" t="s">
        <v>50</v>
      </c>
      <c r="J48">
        <v>1.0000000000000009E-2</v>
      </c>
      <c r="K48">
        <v>0</v>
      </c>
      <c r="L48">
        <f t="shared" si="0"/>
        <v>0</v>
      </c>
      <c r="M48">
        <f t="shared" si="1"/>
        <v>1</v>
      </c>
    </row>
    <row r="49" spans="1:13" x14ac:dyDescent="0.3">
      <c r="A49">
        <v>3</v>
      </c>
      <c r="B49" s="3">
        <v>43629.708333333336</v>
      </c>
      <c r="C49" t="s">
        <v>93</v>
      </c>
      <c r="D49">
        <v>7</v>
      </c>
      <c r="E49">
        <v>4</v>
      </c>
      <c r="F49">
        <v>0.41000000000000014</v>
      </c>
      <c r="H49">
        <v>2.1872265999999998</v>
      </c>
      <c r="I49" t="s">
        <v>50</v>
      </c>
      <c r="J49">
        <v>-0.66999999999999993</v>
      </c>
      <c r="K49" t="s">
        <v>113</v>
      </c>
      <c r="L49">
        <f t="shared" si="0"/>
        <v>2</v>
      </c>
      <c r="M49">
        <f t="shared" si="1"/>
        <v>7</v>
      </c>
    </row>
    <row r="50" spans="1:13" hidden="1" x14ac:dyDescent="0.3">
      <c r="A50">
        <v>2</v>
      </c>
      <c r="B50" s="3">
        <v>43629.708333333336</v>
      </c>
      <c r="C50" t="s">
        <v>93</v>
      </c>
      <c r="D50">
        <v>7</v>
      </c>
      <c r="E50">
        <v>4</v>
      </c>
      <c r="F50">
        <v>0.41000000000000014</v>
      </c>
      <c r="H50">
        <v>168.41644819999999</v>
      </c>
      <c r="I50" t="s">
        <v>48</v>
      </c>
      <c r="J50">
        <v>0.74</v>
      </c>
      <c r="K50">
        <v>2</v>
      </c>
      <c r="L50">
        <f t="shared" si="0"/>
        <v>168</v>
      </c>
      <c r="M50">
        <f t="shared" si="1"/>
        <v>505</v>
      </c>
    </row>
    <row r="51" spans="1:13" hidden="1" x14ac:dyDescent="0.3">
      <c r="A51">
        <v>1</v>
      </c>
      <c r="B51" s="3">
        <v>43629.708333333336</v>
      </c>
      <c r="C51" t="s">
        <v>93</v>
      </c>
      <c r="D51">
        <v>7</v>
      </c>
      <c r="E51">
        <v>4</v>
      </c>
      <c r="F51">
        <v>0.41000000000000014</v>
      </c>
      <c r="H51">
        <v>460.41119929999996</v>
      </c>
      <c r="I51" t="s">
        <v>68</v>
      </c>
      <c r="J51">
        <v>0.33000000000000007</v>
      </c>
      <c r="K51">
        <v>0</v>
      </c>
      <c r="L51">
        <f t="shared" si="0"/>
        <v>460</v>
      </c>
      <c r="M51">
        <f t="shared" si="1"/>
        <v>1381</v>
      </c>
    </row>
    <row r="52" spans="1:13" x14ac:dyDescent="0.3">
      <c r="A52">
        <v>4</v>
      </c>
      <c r="B52" s="3">
        <v>43629.708333333336</v>
      </c>
      <c r="C52" t="s">
        <v>93</v>
      </c>
      <c r="D52">
        <v>6</v>
      </c>
      <c r="E52">
        <v>4</v>
      </c>
      <c r="F52">
        <v>4.9999999999998934E-3</v>
      </c>
      <c r="H52">
        <v>1.3333333333333333</v>
      </c>
      <c r="I52" t="s">
        <v>50</v>
      </c>
      <c r="J52">
        <v>0.12999999999999989</v>
      </c>
      <c r="K52">
        <v>0</v>
      </c>
      <c r="L52">
        <f t="shared" si="0"/>
        <v>1</v>
      </c>
      <c r="M52">
        <f t="shared" si="1"/>
        <v>4</v>
      </c>
    </row>
    <row r="53" spans="1:13" x14ac:dyDescent="0.3">
      <c r="A53">
        <v>3</v>
      </c>
      <c r="B53" s="3">
        <v>43629.708333333336</v>
      </c>
      <c r="C53" t="s">
        <v>93</v>
      </c>
      <c r="D53">
        <v>6</v>
      </c>
      <c r="E53">
        <v>4</v>
      </c>
      <c r="F53">
        <v>4.9999999999998934E-3</v>
      </c>
      <c r="H53">
        <v>7.6552930999999997</v>
      </c>
      <c r="I53" t="s">
        <v>50</v>
      </c>
      <c r="J53">
        <v>-0.23599999999999999</v>
      </c>
      <c r="K53" t="s">
        <v>113</v>
      </c>
      <c r="L53">
        <f t="shared" si="0"/>
        <v>8</v>
      </c>
      <c r="M53">
        <f t="shared" si="1"/>
        <v>23</v>
      </c>
    </row>
    <row r="54" spans="1:13" hidden="1" x14ac:dyDescent="0.3">
      <c r="A54">
        <v>2</v>
      </c>
      <c r="B54" s="3">
        <v>43629.708333333336</v>
      </c>
      <c r="C54" t="s">
        <v>93</v>
      </c>
      <c r="D54">
        <v>6</v>
      </c>
      <c r="E54">
        <v>4</v>
      </c>
      <c r="F54">
        <v>4.9999999999998934E-3</v>
      </c>
      <c r="H54">
        <v>152.01224869999999</v>
      </c>
      <c r="I54" t="s">
        <v>48</v>
      </c>
      <c r="J54">
        <v>8.6000000000000076E-2</v>
      </c>
      <c r="K54">
        <v>7</v>
      </c>
      <c r="L54">
        <f t="shared" si="0"/>
        <v>152</v>
      </c>
      <c r="M54">
        <f t="shared" si="1"/>
        <v>456</v>
      </c>
    </row>
    <row r="55" spans="1:13" hidden="1" x14ac:dyDescent="0.3">
      <c r="A55">
        <v>1</v>
      </c>
      <c r="B55" s="3">
        <v>43629.708333333336</v>
      </c>
      <c r="C55" t="s">
        <v>93</v>
      </c>
      <c r="D55">
        <v>6</v>
      </c>
      <c r="E55">
        <v>4</v>
      </c>
      <c r="F55">
        <v>4.9999999999998934E-3</v>
      </c>
      <c r="H55">
        <v>377.29658849999998</v>
      </c>
      <c r="I55" t="s">
        <v>68</v>
      </c>
      <c r="J55">
        <v>2.4999999999999911E-2</v>
      </c>
      <c r="K55">
        <v>0</v>
      </c>
      <c r="L55">
        <f t="shared" si="0"/>
        <v>377</v>
      </c>
      <c r="M55">
        <f t="shared" si="1"/>
        <v>1132</v>
      </c>
    </row>
    <row r="56" spans="1:13" x14ac:dyDescent="0.3">
      <c r="A56">
        <v>4</v>
      </c>
      <c r="B56" s="3">
        <v>43629.708333333336</v>
      </c>
      <c r="C56" t="s">
        <v>93</v>
      </c>
      <c r="D56">
        <v>5</v>
      </c>
      <c r="E56">
        <v>4</v>
      </c>
      <c r="F56">
        <v>-8.0000000000000071E-2</v>
      </c>
      <c r="H56">
        <v>0.33333333333333331</v>
      </c>
      <c r="I56" t="s">
        <v>50</v>
      </c>
      <c r="J56">
        <v>1.0000000000000009E-2</v>
      </c>
      <c r="K56">
        <v>0</v>
      </c>
      <c r="L56">
        <f t="shared" si="0"/>
        <v>0</v>
      </c>
      <c r="M56">
        <f t="shared" si="1"/>
        <v>1</v>
      </c>
    </row>
    <row r="57" spans="1:13" x14ac:dyDescent="0.3">
      <c r="A57">
        <v>3</v>
      </c>
      <c r="B57" s="3">
        <v>43629.708333333336</v>
      </c>
      <c r="C57" t="s">
        <v>93</v>
      </c>
      <c r="D57">
        <v>5</v>
      </c>
      <c r="E57">
        <v>4</v>
      </c>
      <c r="F57">
        <v>-8.0000000000000071E-2</v>
      </c>
      <c r="H57">
        <v>4.3744531999999996</v>
      </c>
      <c r="I57" t="s">
        <v>50</v>
      </c>
      <c r="J57">
        <v>-0.29800000000000004</v>
      </c>
      <c r="K57" t="s">
        <v>115</v>
      </c>
      <c r="L57">
        <f t="shared" si="0"/>
        <v>4</v>
      </c>
      <c r="M57">
        <f t="shared" si="1"/>
        <v>13</v>
      </c>
    </row>
    <row r="58" spans="1:13" hidden="1" x14ac:dyDescent="0.3">
      <c r="A58">
        <v>2</v>
      </c>
      <c r="B58" s="3">
        <v>43629.708333333336</v>
      </c>
      <c r="C58" t="s">
        <v>93</v>
      </c>
      <c r="D58">
        <v>5</v>
      </c>
      <c r="E58">
        <v>4</v>
      </c>
      <c r="F58">
        <v>-8.0000000000000071E-2</v>
      </c>
      <c r="H58">
        <v>134.5144359</v>
      </c>
      <c r="I58" t="s">
        <v>48</v>
      </c>
      <c r="J58">
        <v>0.19800000000000018</v>
      </c>
      <c r="K58">
        <v>0</v>
      </c>
      <c r="L58">
        <f t="shared" si="0"/>
        <v>135</v>
      </c>
      <c r="M58">
        <f t="shared" si="1"/>
        <v>404</v>
      </c>
    </row>
    <row r="59" spans="1:13" hidden="1" x14ac:dyDescent="0.3">
      <c r="A59">
        <v>1</v>
      </c>
      <c r="B59" s="3">
        <v>43629.708333333336</v>
      </c>
      <c r="C59" t="s">
        <v>93</v>
      </c>
      <c r="D59">
        <v>5</v>
      </c>
      <c r="E59">
        <v>4</v>
      </c>
      <c r="F59">
        <v>-8.0000000000000071E-2</v>
      </c>
      <c r="H59">
        <v>334.64566979999995</v>
      </c>
      <c r="I59" t="s">
        <v>68</v>
      </c>
      <c r="J59">
        <v>9.9999999999997868E-3</v>
      </c>
      <c r="K59">
        <v>0</v>
      </c>
      <c r="L59">
        <f t="shared" si="0"/>
        <v>335</v>
      </c>
      <c r="M59">
        <f t="shared" si="1"/>
        <v>1004</v>
      </c>
    </row>
    <row r="60" spans="1:13" x14ac:dyDescent="0.3">
      <c r="A60">
        <v>5</v>
      </c>
      <c r="B60" s="3">
        <v>43629.708333333336</v>
      </c>
      <c r="C60" t="s">
        <v>93</v>
      </c>
      <c r="D60">
        <v>4</v>
      </c>
      <c r="E60">
        <v>5</v>
      </c>
      <c r="F60">
        <v>-0.17999999999999972</v>
      </c>
      <c r="H60">
        <v>0.33333333333333331</v>
      </c>
      <c r="I60" t="s">
        <v>50</v>
      </c>
      <c r="J60">
        <v>1.0000000000000009E-2</v>
      </c>
      <c r="K60">
        <v>0</v>
      </c>
      <c r="L60">
        <f t="shared" si="0"/>
        <v>0</v>
      </c>
      <c r="M60">
        <f t="shared" si="1"/>
        <v>1</v>
      </c>
    </row>
    <row r="61" spans="1:13" x14ac:dyDescent="0.3">
      <c r="A61">
        <v>4</v>
      </c>
      <c r="B61" s="3">
        <v>43629.708333333336</v>
      </c>
      <c r="C61" t="s">
        <v>93</v>
      </c>
      <c r="D61">
        <v>4</v>
      </c>
      <c r="E61">
        <v>5</v>
      </c>
      <c r="F61">
        <v>-0.17999999999999972</v>
      </c>
      <c r="H61">
        <v>4.9212598499999993</v>
      </c>
      <c r="I61" t="s">
        <v>50</v>
      </c>
      <c r="J61">
        <v>-0.26400000000000001</v>
      </c>
      <c r="K61" t="s">
        <v>115</v>
      </c>
      <c r="L61">
        <f t="shared" si="0"/>
        <v>5</v>
      </c>
      <c r="M61">
        <f t="shared" si="1"/>
        <v>15</v>
      </c>
    </row>
    <row r="62" spans="1:13" hidden="1" x14ac:dyDescent="0.3">
      <c r="A62">
        <v>3</v>
      </c>
      <c r="B62" s="3">
        <v>43629.708333333336</v>
      </c>
      <c r="C62" t="s">
        <v>93</v>
      </c>
      <c r="D62">
        <v>4</v>
      </c>
      <c r="E62">
        <v>5</v>
      </c>
      <c r="F62">
        <v>-0.17999999999999972</v>
      </c>
      <c r="H62">
        <v>41.557305399999997</v>
      </c>
      <c r="I62" t="s">
        <v>47</v>
      </c>
      <c r="J62">
        <v>3.3999999999999808E-2</v>
      </c>
      <c r="K62">
        <v>0</v>
      </c>
      <c r="L62">
        <f t="shared" si="0"/>
        <v>42</v>
      </c>
      <c r="M62">
        <f t="shared" si="1"/>
        <v>125</v>
      </c>
    </row>
    <row r="63" spans="1:13" hidden="1" x14ac:dyDescent="0.3">
      <c r="A63">
        <v>2</v>
      </c>
      <c r="B63" s="3">
        <v>43629.708333333336</v>
      </c>
      <c r="C63" t="s">
        <v>93</v>
      </c>
      <c r="D63">
        <v>4</v>
      </c>
      <c r="E63">
        <v>5</v>
      </c>
      <c r="F63">
        <v>-0.17999999999999972</v>
      </c>
      <c r="H63">
        <v>284.33945799999998</v>
      </c>
      <c r="I63" t="s">
        <v>48</v>
      </c>
      <c r="J63">
        <v>0</v>
      </c>
      <c r="K63">
        <v>0</v>
      </c>
      <c r="L63">
        <f t="shared" si="0"/>
        <v>284</v>
      </c>
      <c r="M63">
        <f t="shared" si="1"/>
        <v>853</v>
      </c>
    </row>
    <row r="64" spans="1:13" hidden="1" x14ac:dyDescent="0.3">
      <c r="A64">
        <v>1</v>
      </c>
      <c r="B64" s="3">
        <v>43629.708333333336</v>
      </c>
      <c r="C64" t="s">
        <v>93</v>
      </c>
      <c r="D64">
        <v>4</v>
      </c>
      <c r="E64">
        <v>5</v>
      </c>
      <c r="F64">
        <v>-0.17999999999999972</v>
      </c>
      <c r="H64">
        <v>577.42782239999997</v>
      </c>
      <c r="I64" t="s">
        <v>68</v>
      </c>
      <c r="J64">
        <v>4.000000000000048E-2</v>
      </c>
      <c r="K64">
        <v>0</v>
      </c>
      <c r="L64">
        <f t="shared" si="0"/>
        <v>577</v>
      </c>
      <c r="M64">
        <f t="shared" si="1"/>
        <v>1732</v>
      </c>
    </row>
    <row r="65" spans="1:13" x14ac:dyDescent="0.3">
      <c r="A65">
        <v>3</v>
      </c>
      <c r="B65" s="3">
        <v>43629.708333333336</v>
      </c>
      <c r="C65" t="s">
        <v>93</v>
      </c>
      <c r="D65">
        <v>3</v>
      </c>
      <c r="E65">
        <v>3</v>
      </c>
      <c r="F65">
        <v>0.20999999999999996</v>
      </c>
      <c r="H65">
        <v>1.3342082259999999</v>
      </c>
      <c r="I65" t="s">
        <v>50</v>
      </c>
      <c r="J65">
        <v>0.12999999999999989</v>
      </c>
      <c r="K65">
        <v>0</v>
      </c>
      <c r="L65">
        <f t="shared" si="0"/>
        <v>1</v>
      </c>
      <c r="M65">
        <f t="shared" si="1"/>
        <v>4</v>
      </c>
    </row>
    <row r="66" spans="1:13" x14ac:dyDescent="0.3">
      <c r="A66">
        <v>2</v>
      </c>
      <c r="B66" s="3">
        <v>43629.708333333336</v>
      </c>
      <c r="C66" t="s">
        <v>93</v>
      </c>
      <c r="D66">
        <v>3</v>
      </c>
      <c r="E66">
        <v>3</v>
      </c>
      <c r="F66">
        <v>0.20999999999999996</v>
      </c>
      <c r="H66">
        <v>15.310586199999999</v>
      </c>
      <c r="I66" t="s">
        <v>50</v>
      </c>
      <c r="J66">
        <v>-2.1999999999999797E-2</v>
      </c>
      <c r="K66" t="s">
        <v>114</v>
      </c>
      <c r="L66">
        <f t="shared" ref="L66:L129" si="2">ROUND(H66,0)</f>
        <v>15</v>
      </c>
      <c r="M66">
        <f t="shared" ref="M66:M129" si="3">ROUND(H66*3,0)</f>
        <v>46</v>
      </c>
    </row>
    <row r="67" spans="1:13" hidden="1" x14ac:dyDescent="0.3">
      <c r="A67">
        <v>1</v>
      </c>
      <c r="B67" s="3">
        <v>43629.708333333336</v>
      </c>
      <c r="C67" t="s">
        <v>93</v>
      </c>
      <c r="D67">
        <v>3</v>
      </c>
      <c r="E67">
        <v>3</v>
      </c>
      <c r="F67">
        <v>0.20999999999999996</v>
      </c>
      <c r="H67">
        <v>226.37795309999998</v>
      </c>
      <c r="I67" t="s">
        <v>68</v>
      </c>
      <c r="J67">
        <v>0.10199999999999987</v>
      </c>
      <c r="K67">
        <v>14</v>
      </c>
      <c r="L67">
        <f t="shared" si="2"/>
        <v>226</v>
      </c>
      <c r="M67">
        <f t="shared" si="3"/>
        <v>679</v>
      </c>
    </row>
    <row r="68" spans="1:13" x14ac:dyDescent="0.3">
      <c r="A68">
        <v>5</v>
      </c>
      <c r="B68" s="3">
        <v>43629.708333333336</v>
      </c>
      <c r="C68" t="s">
        <v>93</v>
      </c>
      <c r="D68">
        <v>2</v>
      </c>
      <c r="E68">
        <v>5</v>
      </c>
      <c r="F68">
        <v>-1.1890000000000001</v>
      </c>
      <c r="H68">
        <v>0.33333333333333331</v>
      </c>
      <c r="I68" t="s">
        <v>50</v>
      </c>
      <c r="J68">
        <v>1.0000000000000009E-2</v>
      </c>
      <c r="K68">
        <v>0</v>
      </c>
      <c r="L68">
        <f t="shared" si="2"/>
        <v>0</v>
      </c>
      <c r="M68">
        <f t="shared" si="3"/>
        <v>1</v>
      </c>
    </row>
    <row r="69" spans="1:13" x14ac:dyDescent="0.3">
      <c r="A69">
        <v>4</v>
      </c>
      <c r="B69" s="3">
        <v>43629.708333333336</v>
      </c>
      <c r="C69" t="s">
        <v>93</v>
      </c>
      <c r="D69">
        <v>2</v>
      </c>
      <c r="E69">
        <v>5</v>
      </c>
      <c r="F69">
        <v>-1.1890000000000001</v>
      </c>
      <c r="H69">
        <v>2.1872265999999998</v>
      </c>
      <c r="I69" t="s">
        <v>50</v>
      </c>
      <c r="J69">
        <v>-0.66999999999999993</v>
      </c>
      <c r="K69" t="s">
        <v>115</v>
      </c>
      <c r="L69">
        <f t="shared" si="2"/>
        <v>2</v>
      </c>
      <c r="M69">
        <f t="shared" si="3"/>
        <v>7</v>
      </c>
    </row>
    <row r="70" spans="1:13" hidden="1" x14ac:dyDescent="0.3">
      <c r="A70">
        <v>3</v>
      </c>
      <c r="B70" s="3">
        <v>43629.708333333336</v>
      </c>
      <c r="C70" t="s">
        <v>93</v>
      </c>
      <c r="D70">
        <v>2</v>
      </c>
      <c r="E70">
        <v>5</v>
      </c>
      <c r="F70">
        <v>-1.1890000000000001</v>
      </c>
      <c r="H70">
        <v>21.872265999999996</v>
      </c>
      <c r="I70" t="s">
        <v>47</v>
      </c>
      <c r="J70">
        <v>0.24999999999999978</v>
      </c>
      <c r="K70">
        <v>0</v>
      </c>
      <c r="L70">
        <f t="shared" si="2"/>
        <v>22</v>
      </c>
      <c r="M70">
        <f t="shared" si="3"/>
        <v>66</v>
      </c>
    </row>
    <row r="71" spans="1:13" hidden="1" x14ac:dyDescent="0.3">
      <c r="A71">
        <v>2</v>
      </c>
      <c r="B71" s="3">
        <v>43629.708333333336</v>
      </c>
      <c r="C71" t="s">
        <v>93</v>
      </c>
      <c r="D71">
        <v>2</v>
      </c>
      <c r="E71">
        <v>5</v>
      </c>
      <c r="F71">
        <v>-1.1890000000000001</v>
      </c>
      <c r="H71">
        <v>32.808398999999994</v>
      </c>
      <c r="I71" t="s">
        <v>47</v>
      </c>
      <c r="J71">
        <v>-1</v>
      </c>
      <c r="K71">
        <v>0</v>
      </c>
      <c r="L71">
        <f t="shared" si="2"/>
        <v>33</v>
      </c>
      <c r="M71">
        <f t="shared" si="3"/>
        <v>98</v>
      </c>
    </row>
    <row r="72" spans="1:13" hidden="1" x14ac:dyDescent="0.3">
      <c r="A72">
        <v>1</v>
      </c>
      <c r="B72" s="3">
        <v>43629.708333333336</v>
      </c>
      <c r="C72" t="s">
        <v>93</v>
      </c>
      <c r="D72">
        <v>2</v>
      </c>
      <c r="E72">
        <v>5</v>
      </c>
      <c r="F72">
        <v>-1.1890000000000001</v>
      </c>
      <c r="H72">
        <v>300.74365749999998</v>
      </c>
      <c r="I72" t="s">
        <v>68</v>
      </c>
      <c r="J72">
        <v>0.22100000000000009</v>
      </c>
      <c r="K72">
        <v>0</v>
      </c>
      <c r="L72">
        <f t="shared" si="2"/>
        <v>301</v>
      </c>
      <c r="M72">
        <f t="shared" si="3"/>
        <v>902</v>
      </c>
    </row>
    <row r="73" spans="1:13" x14ac:dyDescent="0.3">
      <c r="A73">
        <v>3</v>
      </c>
      <c r="B73" s="3">
        <v>43629.708333333336</v>
      </c>
      <c r="C73" t="s">
        <v>93</v>
      </c>
      <c r="D73">
        <v>1</v>
      </c>
      <c r="E73">
        <v>3</v>
      </c>
      <c r="F73">
        <v>1.08</v>
      </c>
      <c r="H73">
        <v>3.2808398999999997</v>
      </c>
      <c r="I73" t="s">
        <v>50</v>
      </c>
      <c r="J73">
        <v>0.56000000000000005</v>
      </c>
      <c r="K73">
        <v>0</v>
      </c>
      <c r="L73">
        <f t="shared" si="2"/>
        <v>3</v>
      </c>
      <c r="M73">
        <f t="shared" si="3"/>
        <v>10</v>
      </c>
    </row>
    <row r="74" spans="1:13" hidden="1" x14ac:dyDescent="0.3">
      <c r="A74">
        <v>2</v>
      </c>
      <c r="B74" s="3">
        <v>43629.708333333336</v>
      </c>
      <c r="C74" t="s">
        <v>93</v>
      </c>
      <c r="D74">
        <v>1</v>
      </c>
      <c r="E74">
        <v>3</v>
      </c>
      <c r="F74">
        <v>1.08</v>
      </c>
      <c r="H74">
        <v>121.39107629999999</v>
      </c>
      <c r="I74" t="s">
        <v>48</v>
      </c>
      <c r="J74">
        <v>0.29000000000000004</v>
      </c>
      <c r="K74">
        <v>3</v>
      </c>
      <c r="L74">
        <f t="shared" si="2"/>
        <v>121</v>
      </c>
      <c r="M74">
        <f t="shared" si="3"/>
        <v>364</v>
      </c>
    </row>
    <row r="75" spans="1:13" hidden="1" x14ac:dyDescent="0.3">
      <c r="A75">
        <v>1</v>
      </c>
      <c r="B75" s="3">
        <v>43629.708333333336</v>
      </c>
      <c r="C75" t="s">
        <v>93</v>
      </c>
      <c r="D75">
        <v>1</v>
      </c>
      <c r="E75">
        <v>3</v>
      </c>
      <c r="F75">
        <v>1.08</v>
      </c>
      <c r="H75">
        <v>419.94750719999996</v>
      </c>
      <c r="I75" t="s">
        <v>68</v>
      </c>
      <c r="J75">
        <v>0.22999999999999998</v>
      </c>
      <c r="K75">
        <v>0</v>
      </c>
      <c r="L75">
        <f t="shared" si="2"/>
        <v>420</v>
      </c>
      <c r="M75">
        <f t="shared" si="3"/>
        <v>1260</v>
      </c>
    </row>
    <row r="76" spans="1:13" x14ac:dyDescent="0.3">
      <c r="A76">
        <v>3</v>
      </c>
      <c r="B76" s="3">
        <v>43624.392361111109</v>
      </c>
      <c r="C76" t="s">
        <v>88</v>
      </c>
      <c r="D76">
        <v>18</v>
      </c>
      <c r="E76">
        <v>3</v>
      </c>
      <c r="F76">
        <v>0.97500000000000009</v>
      </c>
      <c r="H76">
        <v>3.2808398999999997</v>
      </c>
      <c r="I76" t="s">
        <v>50</v>
      </c>
      <c r="J76">
        <v>0.56000000000000005</v>
      </c>
      <c r="K76">
        <v>0</v>
      </c>
      <c r="L76">
        <f t="shared" si="2"/>
        <v>3</v>
      </c>
      <c r="M76">
        <f t="shared" si="3"/>
        <v>10</v>
      </c>
    </row>
    <row r="77" spans="1:13" hidden="1" x14ac:dyDescent="0.3">
      <c r="A77">
        <v>2</v>
      </c>
      <c r="B77" s="3">
        <v>43624.392361111109</v>
      </c>
      <c r="C77" t="s">
        <v>88</v>
      </c>
      <c r="D77">
        <v>18</v>
      </c>
      <c r="E77">
        <v>3</v>
      </c>
      <c r="F77">
        <v>0.97500000000000009</v>
      </c>
      <c r="H77">
        <v>166.22922159999999</v>
      </c>
      <c r="I77" t="s">
        <v>48</v>
      </c>
      <c r="J77">
        <v>0.52</v>
      </c>
      <c r="K77">
        <v>3</v>
      </c>
      <c r="L77">
        <f t="shared" si="2"/>
        <v>166</v>
      </c>
      <c r="M77">
        <f t="shared" si="3"/>
        <v>499</v>
      </c>
    </row>
    <row r="78" spans="1:13" hidden="1" x14ac:dyDescent="0.3">
      <c r="A78">
        <v>1</v>
      </c>
      <c r="B78" s="3">
        <v>43624.392361111109</v>
      </c>
      <c r="C78" t="s">
        <v>88</v>
      </c>
      <c r="D78">
        <v>18</v>
      </c>
      <c r="E78">
        <v>3</v>
      </c>
      <c r="F78">
        <v>0.97500000000000009</v>
      </c>
      <c r="H78">
        <v>358.70516239999995</v>
      </c>
      <c r="I78" t="s">
        <v>68</v>
      </c>
      <c r="J78">
        <v>-0.10499999999999998</v>
      </c>
      <c r="K78">
        <v>0</v>
      </c>
      <c r="L78">
        <f t="shared" si="2"/>
        <v>359</v>
      </c>
      <c r="M78">
        <f t="shared" si="3"/>
        <v>1076</v>
      </c>
    </row>
    <row r="79" spans="1:13" x14ac:dyDescent="0.3">
      <c r="A79">
        <v>4</v>
      </c>
      <c r="B79" s="3">
        <v>43624.392361111109</v>
      </c>
      <c r="C79" t="s">
        <v>88</v>
      </c>
      <c r="D79">
        <v>17</v>
      </c>
      <c r="E79">
        <v>4</v>
      </c>
      <c r="F79">
        <v>-0.95000000000000018</v>
      </c>
      <c r="H79">
        <v>0.33333333333333331</v>
      </c>
      <c r="I79" t="s">
        <v>50</v>
      </c>
      <c r="J79">
        <v>1.0000000000000009E-2</v>
      </c>
      <c r="K79">
        <v>0</v>
      </c>
      <c r="L79">
        <f t="shared" si="2"/>
        <v>0</v>
      </c>
      <c r="M79">
        <f t="shared" si="3"/>
        <v>1</v>
      </c>
    </row>
    <row r="80" spans="1:13" x14ac:dyDescent="0.3">
      <c r="A80">
        <v>3</v>
      </c>
      <c r="B80" s="3">
        <v>43624.392361111109</v>
      </c>
      <c r="C80" t="s">
        <v>88</v>
      </c>
      <c r="D80">
        <v>17</v>
      </c>
      <c r="E80">
        <v>4</v>
      </c>
      <c r="F80">
        <v>-0.95000000000000018</v>
      </c>
      <c r="H80">
        <v>1.6666666666666667</v>
      </c>
      <c r="I80" t="s">
        <v>50</v>
      </c>
      <c r="J80">
        <v>-0.88000000000000012</v>
      </c>
      <c r="K80" t="s">
        <v>114</v>
      </c>
      <c r="L80">
        <f t="shared" si="2"/>
        <v>2</v>
      </c>
      <c r="M80">
        <f t="shared" si="3"/>
        <v>5</v>
      </c>
    </row>
    <row r="81" spans="1:13" hidden="1" x14ac:dyDescent="0.3">
      <c r="A81">
        <v>2</v>
      </c>
      <c r="B81" s="3">
        <v>43624.392361111109</v>
      </c>
      <c r="C81" t="s">
        <v>88</v>
      </c>
      <c r="D81">
        <v>17</v>
      </c>
      <c r="E81">
        <v>4</v>
      </c>
      <c r="F81">
        <v>-0.95000000000000018</v>
      </c>
      <c r="H81">
        <v>8.7489063999999992</v>
      </c>
      <c r="I81" t="s">
        <v>48</v>
      </c>
      <c r="J81">
        <v>-0.10000000000000009</v>
      </c>
      <c r="K81">
        <v>0</v>
      </c>
      <c r="L81">
        <f t="shared" si="2"/>
        <v>9</v>
      </c>
      <c r="M81">
        <f t="shared" si="3"/>
        <v>26</v>
      </c>
    </row>
    <row r="82" spans="1:13" hidden="1" x14ac:dyDescent="0.3">
      <c r="A82">
        <v>1</v>
      </c>
      <c r="B82" s="3">
        <v>43624.392361111109</v>
      </c>
      <c r="C82" t="s">
        <v>88</v>
      </c>
      <c r="D82">
        <v>17</v>
      </c>
      <c r="E82">
        <v>4</v>
      </c>
      <c r="F82">
        <v>-0.95000000000000018</v>
      </c>
      <c r="H82">
        <v>168.41644819999999</v>
      </c>
      <c r="I82" t="s">
        <v>68</v>
      </c>
      <c r="J82">
        <v>2.0000000000000018E-2</v>
      </c>
      <c r="K82">
        <v>8</v>
      </c>
      <c r="L82">
        <f t="shared" si="2"/>
        <v>168</v>
      </c>
      <c r="M82">
        <f t="shared" si="3"/>
        <v>505</v>
      </c>
    </row>
    <row r="83" spans="1:13" x14ac:dyDescent="0.3">
      <c r="A83">
        <v>5</v>
      </c>
      <c r="B83" s="3">
        <v>43624.392361111109</v>
      </c>
      <c r="C83" t="s">
        <v>88</v>
      </c>
      <c r="D83">
        <v>16</v>
      </c>
      <c r="E83">
        <v>5</v>
      </c>
      <c r="F83">
        <v>-1.06</v>
      </c>
      <c r="H83">
        <v>0.33333333333333331</v>
      </c>
      <c r="I83" t="s">
        <v>50</v>
      </c>
      <c r="J83">
        <v>1.0000000000000009E-2</v>
      </c>
      <c r="K83">
        <v>0</v>
      </c>
      <c r="L83">
        <f t="shared" si="2"/>
        <v>0</v>
      </c>
      <c r="M83">
        <f t="shared" si="3"/>
        <v>1</v>
      </c>
    </row>
    <row r="84" spans="1:13" x14ac:dyDescent="0.3">
      <c r="A84">
        <v>4</v>
      </c>
      <c r="B84" s="3">
        <v>43624.392361111109</v>
      </c>
      <c r="C84" t="s">
        <v>88</v>
      </c>
      <c r="D84">
        <v>16</v>
      </c>
      <c r="E84">
        <v>5</v>
      </c>
      <c r="F84">
        <v>-1.06</v>
      </c>
      <c r="H84">
        <v>1.6666666666666667</v>
      </c>
      <c r="I84" t="s">
        <v>50</v>
      </c>
      <c r="J84">
        <v>-0.88000000000000012</v>
      </c>
      <c r="K84" t="s">
        <v>114</v>
      </c>
      <c r="L84">
        <f t="shared" si="2"/>
        <v>2</v>
      </c>
      <c r="M84">
        <f t="shared" si="3"/>
        <v>5</v>
      </c>
    </row>
    <row r="85" spans="1:13" x14ac:dyDescent="0.3">
      <c r="A85">
        <v>3</v>
      </c>
      <c r="B85" s="3">
        <v>43624.392361111109</v>
      </c>
      <c r="C85" t="s">
        <v>88</v>
      </c>
      <c r="D85">
        <v>16</v>
      </c>
      <c r="E85">
        <v>5</v>
      </c>
      <c r="F85">
        <v>-1.06</v>
      </c>
      <c r="H85">
        <v>24.059492599999999</v>
      </c>
      <c r="I85" t="s">
        <v>50</v>
      </c>
      <c r="J85">
        <v>0.16199999999999992</v>
      </c>
      <c r="K85" t="s">
        <v>114</v>
      </c>
      <c r="L85">
        <f t="shared" si="2"/>
        <v>24</v>
      </c>
      <c r="M85">
        <f t="shared" si="3"/>
        <v>72</v>
      </c>
    </row>
    <row r="86" spans="1:13" hidden="1" x14ac:dyDescent="0.3">
      <c r="A86">
        <v>2</v>
      </c>
      <c r="B86" s="3">
        <v>43624.392361111109</v>
      </c>
      <c r="C86" t="s">
        <v>88</v>
      </c>
      <c r="D86">
        <v>16</v>
      </c>
      <c r="E86">
        <v>5</v>
      </c>
      <c r="F86">
        <v>-1.06</v>
      </c>
      <c r="H86">
        <v>129.04636939999997</v>
      </c>
      <c r="I86" t="s">
        <v>48</v>
      </c>
      <c r="J86">
        <v>-0.38199999999999967</v>
      </c>
      <c r="K86">
        <v>22</v>
      </c>
      <c r="L86">
        <f t="shared" si="2"/>
        <v>129</v>
      </c>
      <c r="M86">
        <f t="shared" si="3"/>
        <v>387</v>
      </c>
    </row>
    <row r="87" spans="1:13" hidden="1" x14ac:dyDescent="0.3">
      <c r="A87">
        <v>1</v>
      </c>
      <c r="B87" s="3">
        <v>43624.392361111109</v>
      </c>
      <c r="C87" t="s">
        <v>88</v>
      </c>
      <c r="D87">
        <v>16</v>
      </c>
      <c r="E87">
        <v>5</v>
      </c>
      <c r="F87">
        <v>-1.06</v>
      </c>
      <c r="H87">
        <v>344.48818949999998</v>
      </c>
      <c r="I87" t="s">
        <v>68</v>
      </c>
      <c r="J87">
        <v>2.9999999999999805E-2</v>
      </c>
      <c r="K87">
        <v>0</v>
      </c>
      <c r="L87">
        <f t="shared" si="2"/>
        <v>344</v>
      </c>
      <c r="M87">
        <f t="shared" si="3"/>
        <v>1033</v>
      </c>
    </row>
    <row r="88" spans="1:13" x14ac:dyDescent="0.3">
      <c r="A88">
        <v>5</v>
      </c>
      <c r="B88" s="3">
        <v>43624.392361111109</v>
      </c>
      <c r="C88" t="s">
        <v>88</v>
      </c>
      <c r="D88">
        <v>15</v>
      </c>
      <c r="E88">
        <v>5</v>
      </c>
      <c r="F88">
        <v>-0.92250000000000032</v>
      </c>
      <c r="H88">
        <v>0.66666666666666663</v>
      </c>
      <c r="I88" t="s">
        <v>50</v>
      </c>
      <c r="J88">
        <v>1.0000000000000009E-2</v>
      </c>
      <c r="K88">
        <v>0</v>
      </c>
      <c r="L88">
        <f t="shared" si="2"/>
        <v>1</v>
      </c>
      <c r="M88">
        <f t="shared" si="3"/>
        <v>2</v>
      </c>
    </row>
    <row r="89" spans="1:13" x14ac:dyDescent="0.3">
      <c r="A89">
        <v>4</v>
      </c>
      <c r="B89" s="3">
        <v>43624.392361111109</v>
      </c>
      <c r="C89" t="s">
        <v>88</v>
      </c>
      <c r="D89">
        <v>15</v>
      </c>
      <c r="E89">
        <v>5</v>
      </c>
      <c r="F89">
        <v>-0.92250000000000032</v>
      </c>
      <c r="H89">
        <v>3.3333333333333335</v>
      </c>
      <c r="I89" t="s">
        <v>50</v>
      </c>
      <c r="J89">
        <v>-0.39999999999999991</v>
      </c>
      <c r="K89" t="s">
        <v>114</v>
      </c>
      <c r="L89">
        <f t="shared" si="2"/>
        <v>3</v>
      </c>
      <c r="M89">
        <f t="shared" si="3"/>
        <v>10</v>
      </c>
    </row>
    <row r="90" spans="1:13" hidden="1" x14ac:dyDescent="0.3">
      <c r="A90">
        <v>3</v>
      </c>
      <c r="B90" s="3">
        <v>43624.392361111109</v>
      </c>
      <c r="C90" t="s">
        <v>88</v>
      </c>
      <c r="D90">
        <v>15</v>
      </c>
      <c r="E90">
        <v>5</v>
      </c>
      <c r="F90">
        <v>-0.92250000000000032</v>
      </c>
      <c r="H90">
        <v>63.429571399999993</v>
      </c>
      <c r="I90" t="s">
        <v>48</v>
      </c>
      <c r="J90">
        <v>9.000000000000008E-2</v>
      </c>
      <c r="K90">
        <v>3</v>
      </c>
      <c r="L90">
        <f t="shared" si="2"/>
        <v>63</v>
      </c>
      <c r="M90">
        <f t="shared" si="3"/>
        <v>190</v>
      </c>
    </row>
    <row r="91" spans="1:13" hidden="1" x14ac:dyDescent="0.3">
      <c r="A91">
        <v>2</v>
      </c>
      <c r="B91" s="3">
        <v>43624.392361111109</v>
      </c>
      <c r="C91" t="s">
        <v>88</v>
      </c>
      <c r="D91">
        <v>15</v>
      </c>
      <c r="E91">
        <v>5</v>
      </c>
      <c r="F91">
        <v>-0.92250000000000032</v>
      </c>
      <c r="H91">
        <v>133.42082259999998</v>
      </c>
      <c r="I91" t="s">
        <v>47</v>
      </c>
      <c r="J91">
        <v>-0.55000000000000027</v>
      </c>
      <c r="K91">
        <v>0</v>
      </c>
      <c r="L91">
        <f t="shared" si="2"/>
        <v>133</v>
      </c>
      <c r="M91">
        <f t="shared" si="3"/>
        <v>400</v>
      </c>
    </row>
    <row r="92" spans="1:13" hidden="1" x14ac:dyDescent="0.3">
      <c r="A92">
        <v>1</v>
      </c>
      <c r="B92" s="3">
        <v>43624.392361111109</v>
      </c>
      <c r="C92" t="s">
        <v>88</v>
      </c>
      <c r="D92">
        <v>15</v>
      </c>
      <c r="E92">
        <v>5</v>
      </c>
      <c r="F92">
        <v>-0.92250000000000032</v>
      </c>
      <c r="H92">
        <v>398.07524119999994</v>
      </c>
      <c r="I92" t="s">
        <v>68</v>
      </c>
      <c r="J92">
        <v>-7.2500000000000231E-2</v>
      </c>
      <c r="K92">
        <v>0</v>
      </c>
      <c r="L92">
        <f t="shared" si="2"/>
        <v>398</v>
      </c>
      <c r="M92">
        <f t="shared" si="3"/>
        <v>1194</v>
      </c>
    </row>
    <row r="93" spans="1:13" x14ac:dyDescent="0.3">
      <c r="A93">
        <v>4</v>
      </c>
      <c r="B93" s="3">
        <v>43624.392361111109</v>
      </c>
      <c r="C93" t="s">
        <v>88</v>
      </c>
      <c r="D93">
        <v>14</v>
      </c>
      <c r="E93">
        <v>4</v>
      </c>
      <c r="F93">
        <v>0.28000000000000025</v>
      </c>
      <c r="H93">
        <v>1.3333333333333333</v>
      </c>
      <c r="I93" t="s">
        <v>50</v>
      </c>
      <c r="J93">
        <v>0.12999999999999989</v>
      </c>
      <c r="K93">
        <v>0</v>
      </c>
      <c r="L93">
        <f t="shared" si="2"/>
        <v>1</v>
      </c>
      <c r="M93">
        <f t="shared" si="3"/>
        <v>4</v>
      </c>
    </row>
    <row r="94" spans="1:13" hidden="1" x14ac:dyDescent="0.3">
      <c r="A94">
        <v>3</v>
      </c>
      <c r="B94" s="3">
        <v>43624.392361111109</v>
      </c>
      <c r="C94" t="s">
        <v>88</v>
      </c>
      <c r="D94">
        <v>14</v>
      </c>
      <c r="E94">
        <v>4</v>
      </c>
      <c r="F94">
        <v>0.28000000000000025</v>
      </c>
      <c r="H94">
        <v>15.310586199999999</v>
      </c>
      <c r="I94" t="s">
        <v>49</v>
      </c>
      <c r="J94">
        <v>0.35000000000000009</v>
      </c>
      <c r="K94">
        <v>0</v>
      </c>
      <c r="L94">
        <f t="shared" si="2"/>
        <v>15</v>
      </c>
      <c r="M94">
        <f t="shared" si="3"/>
        <v>46</v>
      </c>
    </row>
    <row r="95" spans="1:13" hidden="1" x14ac:dyDescent="0.3">
      <c r="A95">
        <v>2</v>
      </c>
      <c r="B95" s="3">
        <v>43624.392361111109</v>
      </c>
      <c r="C95" t="s">
        <v>88</v>
      </c>
      <c r="D95">
        <v>14</v>
      </c>
      <c r="E95">
        <v>4</v>
      </c>
      <c r="F95">
        <v>0.28000000000000025</v>
      </c>
      <c r="H95">
        <v>172.7909014</v>
      </c>
      <c r="I95" t="s">
        <v>48</v>
      </c>
      <c r="J95">
        <v>-0.39999999999999991</v>
      </c>
      <c r="K95">
        <v>14</v>
      </c>
      <c r="L95">
        <f t="shared" si="2"/>
        <v>173</v>
      </c>
      <c r="M95">
        <f t="shared" si="3"/>
        <v>518</v>
      </c>
    </row>
    <row r="96" spans="1:13" hidden="1" x14ac:dyDescent="0.3">
      <c r="A96">
        <v>1</v>
      </c>
      <c r="B96" s="3">
        <v>43624.392361111109</v>
      </c>
      <c r="C96" t="s">
        <v>88</v>
      </c>
      <c r="D96">
        <v>14</v>
      </c>
      <c r="E96">
        <v>4</v>
      </c>
      <c r="F96">
        <v>0.28000000000000025</v>
      </c>
      <c r="H96">
        <v>447.28783969999995</v>
      </c>
      <c r="I96" t="s">
        <v>68</v>
      </c>
      <c r="J96">
        <v>0.20000000000000018</v>
      </c>
      <c r="K96">
        <v>0</v>
      </c>
      <c r="L96">
        <f t="shared" si="2"/>
        <v>447</v>
      </c>
      <c r="M96">
        <f t="shared" si="3"/>
        <v>1342</v>
      </c>
    </row>
    <row r="97" spans="1:13" x14ac:dyDescent="0.3">
      <c r="A97">
        <v>4</v>
      </c>
      <c r="B97" s="3">
        <v>43624.392361111109</v>
      </c>
      <c r="C97" t="s">
        <v>88</v>
      </c>
      <c r="D97">
        <v>13</v>
      </c>
      <c r="E97">
        <v>4</v>
      </c>
      <c r="F97">
        <v>0.79</v>
      </c>
      <c r="H97">
        <v>3</v>
      </c>
      <c r="I97" t="s">
        <v>50</v>
      </c>
      <c r="J97">
        <v>0.56000000000000005</v>
      </c>
      <c r="K97">
        <v>0</v>
      </c>
      <c r="L97">
        <f t="shared" si="2"/>
        <v>3</v>
      </c>
      <c r="M97">
        <f t="shared" si="3"/>
        <v>9</v>
      </c>
    </row>
    <row r="98" spans="1:13" hidden="1" x14ac:dyDescent="0.3">
      <c r="A98">
        <v>3</v>
      </c>
      <c r="B98" s="3">
        <v>43624.392361111109</v>
      </c>
      <c r="C98" t="s">
        <v>88</v>
      </c>
      <c r="D98">
        <v>13</v>
      </c>
      <c r="E98">
        <v>4</v>
      </c>
      <c r="F98">
        <v>0.79</v>
      </c>
      <c r="H98">
        <v>60.148731499999997</v>
      </c>
      <c r="I98" t="s">
        <v>48</v>
      </c>
      <c r="J98">
        <v>0.14000000000000012</v>
      </c>
      <c r="K98">
        <v>3</v>
      </c>
      <c r="L98">
        <f t="shared" si="2"/>
        <v>60</v>
      </c>
      <c r="M98">
        <f t="shared" si="3"/>
        <v>180</v>
      </c>
    </row>
    <row r="99" spans="1:13" hidden="1" x14ac:dyDescent="0.3">
      <c r="A99">
        <v>2</v>
      </c>
      <c r="B99" s="3">
        <v>43624.392361111109</v>
      </c>
      <c r="C99" t="s">
        <v>88</v>
      </c>
      <c r="D99">
        <v>13</v>
      </c>
      <c r="E99">
        <v>4</v>
      </c>
      <c r="F99">
        <v>0.79</v>
      </c>
      <c r="H99">
        <v>328.08398999999997</v>
      </c>
      <c r="I99" t="s">
        <v>48</v>
      </c>
      <c r="J99">
        <v>0.17999999999999972</v>
      </c>
      <c r="K99">
        <v>0</v>
      </c>
      <c r="L99">
        <f t="shared" si="2"/>
        <v>328</v>
      </c>
      <c r="M99">
        <f t="shared" si="3"/>
        <v>984</v>
      </c>
    </row>
    <row r="100" spans="1:13" hidden="1" x14ac:dyDescent="0.3">
      <c r="A100">
        <v>1</v>
      </c>
      <c r="B100" s="3">
        <v>43624.392361111109</v>
      </c>
      <c r="C100" t="s">
        <v>88</v>
      </c>
      <c r="D100">
        <v>13</v>
      </c>
      <c r="E100">
        <v>4</v>
      </c>
      <c r="F100">
        <v>0.79</v>
      </c>
      <c r="H100">
        <v>541.33858349999991</v>
      </c>
      <c r="I100" t="s">
        <v>68</v>
      </c>
      <c r="J100">
        <v>-8.9999999999999858E-2</v>
      </c>
      <c r="K100">
        <v>0</v>
      </c>
      <c r="L100">
        <f t="shared" si="2"/>
        <v>541</v>
      </c>
      <c r="M100">
        <f t="shared" si="3"/>
        <v>1624</v>
      </c>
    </row>
    <row r="101" spans="1:13" x14ac:dyDescent="0.3">
      <c r="A101">
        <v>2</v>
      </c>
      <c r="B101" s="3">
        <v>43624.392361111109</v>
      </c>
      <c r="C101" t="s">
        <v>88</v>
      </c>
      <c r="D101">
        <v>12</v>
      </c>
      <c r="E101">
        <v>2</v>
      </c>
      <c r="F101">
        <v>1.153</v>
      </c>
      <c r="H101">
        <v>2.6666666666666665</v>
      </c>
      <c r="I101" t="s">
        <v>50</v>
      </c>
      <c r="J101">
        <v>0.41999999999999993</v>
      </c>
      <c r="K101">
        <v>0</v>
      </c>
      <c r="L101">
        <f t="shared" si="2"/>
        <v>3</v>
      </c>
      <c r="M101">
        <f t="shared" si="3"/>
        <v>8</v>
      </c>
    </row>
    <row r="102" spans="1:13" hidden="1" x14ac:dyDescent="0.3">
      <c r="A102">
        <v>1</v>
      </c>
      <c r="B102" s="3">
        <v>43624.392361111109</v>
      </c>
      <c r="C102" t="s">
        <v>88</v>
      </c>
      <c r="D102">
        <v>12</v>
      </c>
      <c r="E102">
        <v>2</v>
      </c>
      <c r="F102">
        <v>1.153</v>
      </c>
      <c r="H102">
        <v>194.66316739999999</v>
      </c>
      <c r="I102" t="s">
        <v>68</v>
      </c>
      <c r="J102">
        <v>0.7330000000000001</v>
      </c>
      <c r="K102">
        <v>2</v>
      </c>
      <c r="L102">
        <f t="shared" si="2"/>
        <v>195</v>
      </c>
      <c r="M102">
        <f t="shared" si="3"/>
        <v>584</v>
      </c>
    </row>
    <row r="103" spans="1:13" x14ac:dyDescent="0.3">
      <c r="A103">
        <v>5</v>
      </c>
      <c r="B103" s="3">
        <v>43624.392361111109</v>
      </c>
      <c r="C103" t="s">
        <v>88</v>
      </c>
      <c r="D103">
        <v>11</v>
      </c>
      <c r="E103">
        <v>5</v>
      </c>
      <c r="F103">
        <v>-0.17999999999999972</v>
      </c>
      <c r="H103">
        <v>5.4680664999999991</v>
      </c>
      <c r="I103" t="s">
        <v>50</v>
      </c>
      <c r="J103">
        <v>0.79800000000000004</v>
      </c>
      <c r="K103">
        <v>0</v>
      </c>
      <c r="L103">
        <f t="shared" si="2"/>
        <v>5</v>
      </c>
      <c r="M103">
        <f t="shared" si="3"/>
        <v>16</v>
      </c>
    </row>
    <row r="104" spans="1:13" x14ac:dyDescent="0.3">
      <c r="A104">
        <v>4</v>
      </c>
      <c r="B104" s="3">
        <v>43624.392361111109</v>
      </c>
      <c r="C104" t="s">
        <v>88</v>
      </c>
      <c r="D104">
        <v>11</v>
      </c>
      <c r="E104">
        <v>5</v>
      </c>
      <c r="F104">
        <v>-0.17999999999999972</v>
      </c>
      <c r="H104">
        <v>14.216972899999998</v>
      </c>
      <c r="I104" t="s">
        <v>50</v>
      </c>
      <c r="J104">
        <v>-0.72199999999999998</v>
      </c>
      <c r="K104" t="s">
        <v>113</v>
      </c>
      <c r="L104">
        <f t="shared" si="2"/>
        <v>14</v>
      </c>
      <c r="M104">
        <f t="shared" si="3"/>
        <v>43</v>
      </c>
    </row>
    <row r="105" spans="1:13" hidden="1" x14ac:dyDescent="0.3">
      <c r="A105">
        <v>3</v>
      </c>
      <c r="B105" s="3">
        <v>43624.392361111109</v>
      </c>
      <c r="C105" t="s">
        <v>88</v>
      </c>
      <c r="D105">
        <v>11</v>
      </c>
      <c r="E105">
        <v>5</v>
      </c>
      <c r="F105">
        <v>-0.17999999999999972</v>
      </c>
      <c r="H105">
        <v>132.32720929999999</v>
      </c>
      <c r="I105" t="s">
        <v>48</v>
      </c>
      <c r="J105">
        <v>-0.16599999999999993</v>
      </c>
      <c r="K105">
        <v>13</v>
      </c>
      <c r="L105">
        <f t="shared" si="2"/>
        <v>132</v>
      </c>
      <c r="M105">
        <f t="shared" si="3"/>
        <v>397</v>
      </c>
    </row>
    <row r="106" spans="1:13" hidden="1" x14ac:dyDescent="0.3">
      <c r="A106">
        <v>2</v>
      </c>
      <c r="B106" s="3">
        <v>43624.392361111109</v>
      </c>
      <c r="C106" t="s">
        <v>88</v>
      </c>
      <c r="D106">
        <v>11</v>
      </c>
      <c r="E106">
        <v>5</v>
      </c>
      <c r="F106">
        <v>-0.17999999999999972</v>
      </c>
      <c r="H106">
        <v>351.04986929999995</v>
      </c>
      <c r="I106" t="s">
        <v>48</v>
      </c>
      <c r="J106">
        <v>0.12000000000000011</v>
      </c>
      <c r="K106">
        <v>0</v>
      </c>
      <c r="L106">
        <f t="shared" si="2"/>
        <v>351</v>
      </c>
      <c r="M106">
        <f t="shared" si="3"/>
        <v>1053</v>
      </c>
    </row>
    <row r="107" spans="1:13" hidden="1" x14ac:dyDescent="0.3">
      <c r="A107">
        <v>1</v>
      </c>
      <c r="B107" s="3">
        <v>43624.392361111109</v>
      </c>
      <c r="C107" t="s">
        <v>88</v>
      </c>
      <c r="D107">
        <v>11</v>
      </c>
      <c r="E107">
        <v>5</v>
      </c>
      <c r="F107">
        <v>-0.17999999999999972</v>
      </c>
      <c r="H107">
        <v>612.42344799999989</v>
      </c>
      <c r="I107" t="s">
        <v>68</v>
      </c>
      <c r="J107">
        <v>-0.20999999999999996</v>
      </c>
      <c r="K107">
        <v>0</v>
      </c>
      <c r="L107">
        <f t="shared" si="2"/>
        <v>612</v>
      </c>
      <c r="M107">
        <f t="shared" si="3"/>
        <v>1837</v>
      </c>
    </row>
    <row r="108" spans="1:13" x14ac:dyDescent="0.3">
      <c r="A108">
        <v>4</v>
      </c>
      <c r="B108" s="3">
        <v>43624.392361111109</v>
      </c>
      <c r="C108" t="s">
        <v>88</v>
      </c>
      <c r="D108">
        <v>10</v>
      </c>
      <c r="E108">
        <v>4</v>
      </c>
      <c r="F108">
        <v>-0.10999999999999988</v>
      </c>
      <c r="H108">
        <v>1</v>
      </c>
      <c r="I108" t="s">
        <v>50</v>
      </c>
      <c r="J108">
        <v>4.0000000000000036E-2</v>
      </c>
      <c r="K108">
        <v>0</v>
      </c>
      <c r="L108">
        <f t="shared" si="2"/>
        <v>1</v>
      </c>
      <c r="M108">
        <f t="shared" si="3"/>
        <v>3</v>
      </c>
    </row>
    <row r="109" spans="1:13" hidden="1" x14ac:dyDescent="0.3">
      <c r="A109">
        <v>3</v>
      </c>
      <c r="B109" s="3">
        <v>43624.392361111109</v>
      </c>
      <c r="C109" t="s">
        <v>88</v>
      </c>
      <c r="D109">
        <v>10</v>
      </c>
      <c r="E109">
        <v>4</v>
      </c>
      <c r="F109">
        <v>-0.10999999999999988</v>
      </c>
      <c r="H109">
        <v>20.778652699999999</v>
      </c>
      <c r="I109" t="s">
        <v>47</v>
      </c>
      <c r="J109">
        <v>0.54999999999999982</v>
      </c>
      <c r="K109">
        <v>0</v>
      </c>
      <c r="L109">
        <f t="shared" si="2"/>
        <v>21</v>
      </c>
      <c r="M109">
        <f t="shared" si="3"/>
        <v>62</v>
      </c>
    </row>
    <row r="110" spans="1:13" hidden="1" x14ac:dyDescent="0.3">
      <c r="A110">
        <v>2</v>
      </c>
      <c r="B110" s="3">
        <v>43624.392361111109</v>
      </c>
      <c r="C110" t="s">
        <v>88</v>
      </c>
      <c r="D110">
        <v>10</v>
      </c>
      <c r="E110">
        <v>4</v>
      </c>
      <c r="F110">
        <v>-0.10999999999999988</v>
      </c>
      <c r="H110">
        <v>106.08049009999999</v>
      </c>
      <c r="I110" t="s">
        <v>47</v>
      </c>
      <c r="J110">
        <v>-0.62999999999999989</v>
      </c>
      <c r="K110">
        <v>0</v>
      </c>
      <c r="L110">
        <f t="shared" si="2"/>
        <v>106</v>
      </c>
      <c r="M110">
        <f t="shared" si="3"/>
        <v>318</v>
      </c>
    </row>
    <row r="111" spans="1:13" hidden="1" x14ac:dyDescent="0.3">
      <c r="A111">
        <v>1</v>
      </c>
      <c r="B111" s="3">
        <v>43624.392361111109</v>
      </c>
      <c r="C111" t="s">
        <v>88</v>
      </c>
      <c r="D111">
        <v>10</v>
      </c>
      <c r="E111">
        <v>4</v>
      </c>
      <c r="F111">
        <v>-0.10999999999999988</v>
      </c>
      <c r="H111">
        <v>321.52231019999999</v>
      </c>
      <c r="I111" t="s">
        <v>68</v>
      </c>
      <c r="J111">
        <v>-6.999999999999984E-2</v>
      </c>
      <c r="K111">
        <v>0</v>
      </c>
      <c r="L111">
        <f t="shared" si="2"/>
        <v>322</v>
      </c>
      <c r="M111">
        <f t="shared" si="3"/>
        <v>965</v>
      </c>
    </row>
    <row r="112" spans="1:13" x14ac:dyDescent="0.3">
      <c r="A112">
        <v>3</v>
      </c>
      <c r="B112" s="3">
        <v>43624.392361111109</v>
      </c>
      <c r="C112" t="s">
        <v>88</v>
      </c>
      <c r="D112">
        <v>9</v>
      </c>
      <c r="E112">
        <v>3</v>
      </c>
      <c r="F112">
        <v>-2.9999999999999805E-2</v>
      </c>
      <c r="H112">
        <v>0.33333333333333331</v>
      </c>
      <c r="I112" t="s">
        <v>50</v>
      </c>
      <c r="J112">
        <v>1.0000000000000009E-2</v>
      </c>
      <c r="K112">
        <v>0</v>
      </c>
      <c r="L112">
        <f t="shared" si="2"/>
        <v>0</v>
      </c>
      <c r="M112">
        <f t="shared" si="3"/>
        <v>1</v>
      </c>
    </row>
    <row r="113" spans="1:13" x14ac:dyDescent="0.3">
      <c r="A113">
        <v>2</v>
      </c>
      <c r="B113" s="3">
        <v>43624.392361111109</v>
      </c>
      <c r="C113" t="s">
        <v>88</v>
      </c>
      <c r="D113">
        <v>9</v>
      </c>
      <c r="E113">
        <v>3</v>
      </c>
      <c r="F113">
        <v>-2.9999999999999805E-2</v>
      </c>
      <c r="H113">
        <v>2.1872265999999998</v>
      </c>
      <c r="I113" t="s">
        <v>50</v>
      </c>
      <c r="J113">
        <v>-0.66999999999999993</v>
      </c>
      <c r="K113" t="s">
        <v>113</v>
      </c>
      <c r="L113">
        <f t="shared" si="2"/>
        <v>2</v>
      </c>
      <c r="M113">
        <f t="shared" si="3"/>
        <v>7</v>
      </c>
    </row>
    <row r="114" spans="1:13" hidden="1" x14ac:dyDescent="0.3">
      <c r="A114">
        <v>1</v>
      </c>
      <c r="B114" s="3">
        <v>43624.392361111109</v>
      </c>
      <c r="C114" t="s">
        <v>88</v>
      </c>
      <c r="D114">
        <v>9</v>
      </c>
      <c r="E114">
        <v>3</v>
      </c>
      <c r="F114">
        <v>-2.9999999999999805E-2</v>
      </c>
      <c r="H114">
        <v>135.60804919999998</v>
      </c>
      <c r="I114" t="s">
        <v>68</v>
      </c>
      <c r="J114">
        <v>0.63000000000000012</v>
      </c>
      <c r="K114">
        <v>2</v>
      </c>
      <c r="L114">
        <f t="shared" si="2"/>
        <v>136</v>
      </c>
      <c r="M114">
        <f t="shared" si="3"/>
        <v>407</v>
      </c>
    </row>
    <row r="115" spans="1:13" x14ac:dyDescent="0.3">
      <c r="A115">
        <v>5</v>
      </c>
      <c r="B115" s="3">
        <v>43624.392361111109</v>
      </c>
      <c r="C115" t="s">
        <v>88</v>
      </c>
      <c r="D115">
        <v>8</v>
      </c>
      <c r="E115">
        <v>5</v>
      </c>
      <c r="F115">
        <v>-0.30499999999999972</v>
      </c>
      <c r="H115">
        <v>0.66666666666666663</v>
      </c>
      <c r="I115" t="s">
        <v>50</v>
      </c>
      <c r="J115">
        <v>1.0000000000000009E-2</v>
      </c>
      <c r="K115">
        <v>0</v>
      </c>
      <c r="L115">
        <f t="shared" si="2"/>
        <v>1</v>
      </c>
      <c r="M115">
        <f t="shared" si="3"/>
        <v>2</v>
      </c>
    </row>
    <row r="116" spans="1:13" x14ac:dyDescent="0.3">
      <c r="A116">
        <v>4</v>
      </c>
      <c r="B116" s="3">
        <v>43624.392361111109</v>
      </c>
      <c r="C116" t="s">
        <v>88</v>
      </c>
      <c r="D116">
        <v>8</v>
      </c>
      <c r="E116">
        <v>5</v>
      </c>
      <c r="F116">
        <v>-0.30499999999999972</v>
      </c>
      <c r="H116">
        <v>7.6552930999999997</v>
      </c>
      <c r="I116" t="s">
        <v>50</v>
      </c>
      <c r="J116">
        <v>-0.1160000000000001</v>
      </c>
      <c r="K116" t="s">
        <v>114</v>
      </c>
      <c r="L116">
        <f t="shared" si="2"/>
        <v>8</v>
      </c>
      <c r="M116">
        <f t="shared" si="3"/>
        <v>23</v>
      </c>
    </row>
    <row r="117" spans="1:13" hidden="1" x14ac:dyDescent="0.3">
      <c r="A117">
        <v>3</v>
      </c>
      <c r="B117" s="3">
        <v>43624.392361111109</v>
      </c>
      <c r="C117" t="s">
        <v>88</v>
      </c>
      <c r="D117">
        <v>8</v>
      </c>
      <c r="E117">
        <v>5</v>
      </c>
      <c r="F117">
        <v>-0.30499999999999972</v>
      </c>
      <c r="H117">
        <v>134.5144359</v>
      </c>
      <c r="I117" t="s">
        <v>47</v>
      </c>
      <c r="J117">
        <v>0.25600000000000001</v>
      </c>
      <c r="K117">
        <v>7</v>
      </c>
      <c r="L117">
        <f t="shared" si="2"/>
        <v>135</v>
      </c>
      <c r="M117">
        <f t="shared" si="3"/>
        <v>404</v>
      </c>
    </row>
    <row r="118" spans="1:13" hidden="1" x14ac:dyDescent="0.3">
      <c r="A118">
        <v>2</v>
      </c>
      <c r="B118" s="3">
        <v>43624.392361111109</v>
      </c>
      <c r="C118" t="s">
        <v>88</v>
      </c>
      <c r="D118">
        <v>8</v>
      </c>
      <c r="E118">
        <v>5</v>
      </c>
      <c r="F118">
        <v>-0.30499999999999972</v>
      </c>
      <c r="H118">
        <v>199.03762059999997</v>
      </c>
      <c r="I118" t="s">
        <v>60</v>
      </c>
      <c r="J118">
        <v>-0.2799999999999998</v>
      </c>
      <c r="K118">
        <v>0</v>
      </c>
      <c r="L118">
        <f t="shared" si="2"/>
        <v>199</v>
      </c>
      <c r="M118">
        <f t="shared" si="3"/>
        <v>597</v>
      </c>
    </row>
    <row r="119" spans="1:13" hidden="1" x14ac:dyDescent="0.3">
      <c r="A119">
        <v>1</v>
      </c>
      <c r="B119" s="3">
        <v>43624.392361111109</v>
      </c>
      <c r="C119" t="s">
        <v>88</v>
      </c>
      <c r="D119">
        <v>8</v>
      </c>
      <c r="E119">
        <v>5</v>
      </c>
      <c r="F119">
        <v>-0.30499999999999972</v>
      </c>
      <c r="H119">
        <v>510.71741109999994</v>
      </c>
      <c r="I119" t="s">
        <v>68</v>
      </c>
      <c r="J119">
        <v>-0.17499999999999982</v>
      </c>
      <c r="K119">
        <v>0</v>
      </c>
      <c r="L119">
        <f t="shared" si="2"/>
        <v>511</v>
      </c>
      <c r="M119">
        <f t="shared" si="3"/>
        <v>1532</v>
      </c>
    </row>
    <row r="120" spans="1:13" x14ac:dyDescent="0.3">
      <c r="A120">
        <v>4</v>
      </c>
      <c r="B120" s="3">
        <v>43624.392361111109</v>
      </c>
      <c r="C120" t="s">
        <v>88</v>
      </c>
      <c r="D120">
        <v>7</v>
      </c>
      <c r="E120">
        <v>4</v>
      </c>
      <c r="F120">
        <v>8.8499999999999801E-2</v>
      </c>
      <c r="H120">
        <v>0.66666666666666663</v>
      </c>
      <c r="I120" t="s">
        <v>50</v>
      </c>
      <c r="J120">
        <v>1.0000000000000009E-2</v>
      </c>
      <c r="K120">
        <v>0</v>
      </c>
      <c r="L120">
        <f t="shared" si="2"/>
        <v>1</v>
      </c>
      <c r="M120">
        <f t="shared" si="3"/>
        <v>2</v>
      </c>
    </row>
    <row r="121" spans="1:13" x14ac:dyDescent="0.3">
      <c r="A121">
        <v>3</v>
      </c>
      <c r="B121" s="3">
        <v>43624.392361111109</v>
      </c>
      <c r="C121" t="s">
        <v>88</v>
      </c>
      <c r="D121">
        <v>7</v>
      </c>
      <c r="E121">
        <v>4</v>
      </c>
      <c r="F121">
        <v>8.8499999999999801E-2</v>
      </c>
      <c r="H121">
        <v>7.6552930999999997</v>
      </c>
      <c r="I121" t="s">
        <v>50</v>
      </c>
      <c r="J121">
        <v>-0.1160000000000001</v>
      </c>
      <c r="K121" t="s">
        <v>111</v>
      </c>
      <c r="L121">
        <f t="shared" si="2"/>
        <v>8</v>
      </c>
      <c r="M121">
        <f t="shared" si="3"/>
        <v>23</v>
      </c>
    </row>
    <row r="122" spans="1:13" hidden="1" x14ac:dyDescent="0.3">
      <c r="A122">
        <v>2</v>
      </c>
      <c r="B122" s="3">
        <v>43624.392361111109</v>
      </c>
      <c r="C122" t="s">
        <v>88</v>
      </c>
      <c r="D122">
        <v>7</v>
      </c>
      <c r="E122">
        <v>4</v>
      </c>
      <c r="F122">
        <v>8.8499999999999801E-2</v>
      </c>
      <c r="H122">
        <v>134.5144359</v>
      </c>
      <c r="I122" t="s">
        <v>48</v>
      </c>
      <c r="J122">
        <v>1.6000000000000236E-2</v>
      </c>
      <c r="K122">
        <v>7</v>
      </c>
      <c r="L122">
        <f t="shared" si="2"/>
        <v>135</v>
      </c>
      <c r="M122">
        <f t="shared" si="3"/>
        <v>404</v>
      </c>
    </row>
    <row r="123" spans="1:13" hidden="1" x14ac:dyDescent="0.3">
      <c r="A123">
        <v>1</v>
      </c>
      <c r="B123" s="3">
        <v>43624.392361111109</v>
      </c>
      <c r="C123" t="s">
        <v>88</v>
      </c>
      <c r="D123">
        <v>7</v>
      </c>
      <c r="E123">
        <v>4</v>
      </c>
      <c r="F123">
        <v>8.8499999999999801E-2</v>
      </c>
      <c r="H123">
        <v>400.26246779999997</v>
      </c>
      <c r="I123" t="s">
        <v>68</v>
      </c>
      <c r="J123">
        <v>0.17849999999999966</v>
      </c>
      <c r="K123">
        <v>0</v>
      </c>
      <c r="L123">
        <f t="shared" si="2"/>
        <v>400</v>
      </c>
      <c r="M123">
        <f t="shared" si="3"/>
        <v>1201</v>
      </c>
    </row>
    <row r="124" spans="1:13" x14ac:dyDescent="0.3">
      <c r="A124">
        <v>4</v>
      </c>
      <c r="B124" s="3">
        <v>43624.392361111109</v>
      </c>
      <c r="C124" t="s">
        <v>88</v>
      </c>
      <c r="D124">
        <v>6</v>
      </c>
      <c r="E124">
        <v>4</v>
      </c>
      <c r="F124">
        <v>-0.17499999999999982</v>
      </c>
      <c r="H124">
        <v>0.33333333333333331</v>
      </c>
      <c r="I124" t="s">
        <v>50</v>
      </c>
      <c r="J124">
        <v>1.0000000000000009E-2</v>
      </c>
      <c r="K124">
        <v>0</v>
      </c>
      <c r="L124">
        <f t="shared" si="2"/>
        <v>0</v>
      </c>
      <c r="M124">
        <f t="shared" si="3"/>
        <v>1</v>
      </c>
    </row>
    <row r="125" spans="1:13" x14ac:dyDescent="0.3">
      <c r="A125">
        <v>3</v>
      </c>
      <c r="B125" s="3">
        <v>43624.392361111109</v>
      </c>
      <c r="C125" t="s">
        <v>88</v>
      </c>
      <c r="D125">
        <v>6</v>
      </c>
      <c r="E125">
        <v>4</v>
      </c>
      <c r="F125">
        <v>-0.17499999999999982</v>
      </c>
      <c r="H125">
        <v>6.5616797999999994</v>
      </c>
      <c r="I125" t="s">
        <v>50</v>
      </c>
      <c r="J125">
        <v>-0.15799999999999992</v>
      </c>
      <c r="K125" t="s">
        <v>111</v>
      </c>
      <c r="L125">
        <f t="shared" si="2"/>
        <v>7</v>
      </c>
      <c r="M125">
        <f t="shared" si="3"/>
        <v>20</v>
      </c>
    </row>
    <row r="126" spans="1:13" hidden="1" x14ac:dyDescent="0.3">
      <c r="A126">
        <v>2</v>
      </c>
      <c r="B126" s="3">
        <v>43624.392361111109</v>
      </c>
      <c r="C126" t="s">
        <v>88</v>
      </c>
      <c r="D126">
        <v>6</v>
      </c>
      <c r="E126">
        <v>4</v>
      </c>
      <c r="F126">
        <v>-0.17499999999999982</v>
      </c>
      <c r="H126">
        <v>82.020997499999993</v>
      </c>
      <c r="I126" t="s">
        <v>48</v>
      </c>
      <c r="J126">
        <v>-0.10200000000000009</v>
      </c>
      <c r="K126">
        <v>6</v>
      </c>
      <c r="L126">
        <f t="shared" si="2"/>
        <v>82</v>
      </c>
      <c r="M126">
        <f t="shared" si="3"/>
        <v>246</v>
      </c>
    </row>
    <row r="127" spans="1:13" hidden="1" x14ac:dyDescent="0.3">
      <c r="A127">
        <v>1</v>
      </c>
      <c r="B127" s="3">
        <v>43624.392361111109</v>
      </c>
      <c r="C127" t="s">
        <v>88</v>
      </c>
      <c r="D127">
        <v>6</v>
      </c>
      <c r="E127">
        <v>4</v>
      </c>
      <c r="F127">
        <v>-0.17499999999999982</v>
      </c>
      <c r="H127">
        <v>309.49256389999999</v>
      </c>
      <c r="I127" t="s">
        <v>68</v>
      </c>
      <c r="J127">
        <v>7.5000000000000178E-2</v>
      </c>
      <c r="K127">
        <v>0</v>
      </c>
      <c r="L127">
        <f t="shared" si="2"/>
        <v>309</v>
      </c>
      <c r="M127">
        <f t="shared" si="3"/>
        <v>928</v>
      </c>
    </row>
    <row r="128" spans="1:13" x14ac:dyDescent="0.3">
      <c r="A128">
        <v>5</v>
      </c>
      <c r="B128" s="3">
        <v>43624.392361111109</v>
      </c>
      <c r="C128" t="s">
        <v>88</v>
      </c>
      <c r="D128">
        <v>5</v>
      </c>
      <c r="E128">
        <v>5</v>
      </c>
      <c r="F128">
        <v>-1.08</v>
      </c>
      <c r="H128">
        <v>0.33333333333333331</v>
      </c>
      <c r="I128" t="s">
        <v>50</v>
      </c>
      <c r="J128">
        <v>1.0000000000000009E-2</v>
      </c>
      <c r="K128">
        <v>0</v>
      </c>
      <c r="L128">
        <f t="shared" si="2"/>
        <v>0</v>
      </c>
      <c r="M128">
        <f t="shared" si="3"/>
        <v>1</v>
      </c>
    </row>
    <row r="129" spans="1:13" x14ac:dyDescent="0.3">
      <c r="A129">
        <v>4</v>
      </c>
      <c r="B129" s="3">
        <v>43624.392361111109</v>
      </c>
      <c r="C129" t="s">
        <v>88</v>
      </c>
      <c r="D129">
        <v>5</v>
      </c>
      <c r="E129">
        <v>5</v>
      </c>
      <c r="F129">
        <v>-1.08</v>
      </c>
      <c r="H129">
        <v>1</v>
      </c>
      <c r="I129" t="s">
        <v>50</v>
      </c>
      <c r="J129">
        <v>-0.97</v>
      </c>
      <c r="K129" t="s">
        <v>111</v>
      </c>
      <c r="L129">
        <f t="shared" si="2"/>
        <v>1</v>
      </c>
      <c r="M129">
        <f t="shared" si="3"/>
        <v>3</v>
      </c>
    </row>
    <row r="130" spans="1:13" x14ac:dyDescent="0.3">
      <c r="A130">
        <v>3</v>
      </c>
      <c r="B130" s="3">
        <v>43624.392361111109</v>
      </c>
      <c r="C130" t="s">
        <v>88</v>
      </c>
      <c r="D130">
        <v>5</v>
      </c>
      <c r="E130">
        <v>5</v>
      </c>
      <c r="F130">
        <v>-1.08</v>
      </c>
      <c r="H130">
        <v>7.6552930999999997</v>
      </c>
      <c r="I130" t="s">
        <v>50</v>
      </c>
      <c r="J130">
        <v>-0.14600000000000013</v>
      </c>
      <c r="K130" t="s">
        <v>111</v>
      </c>
      <c r="L130">
        <f t="shared" ref="L130:L193" si="4">ROUND(H130,0)</f>
        <v>8</v>
      </c>
      <c r="M130">
        <f t="shared" ref="M130:M193" si="5">ROUND(H130*3,0)</f>
        <v>23</v>
      </c>
    </row>
    <row r="131" spans="1:13" hidden="1" x14ac:dyDescent="0.3">
      <c r="A131">
        <v>2</v>
      </c>
      <c r="B131" s="3">
        <v>43624.392361111109</v>
      </c>
      <c r="C131" t="s">
        <v>88</v>
      </c>
      <c r="D131">
        <v>5</v>
      </c>
      <c r="E131">
        <v>5</v>
      </c>
      <c r="F131">
        <v>-1.08</v>
      </c>
      <c r="H131">
        <v>129.04636939999997</v>
      </c>
      <c r="I131" t="s">
        <v>47</v>
      </c>
      <c r="J131">
        <v>0.25600000000000001</v>
      </c>
      <c r="K131">
        <v>7</v>
      </c>
      <c r="L131">
        <f t="shared" si="4"/>
        <v>129</v>
      </c>
      <c r="M131">
        <f t="shared" si="5"/>
        <v>387</v>
      </c>
    </row>
    <row r="132" spans="1:13" hidden="1" x14ac:dyDescent="0.3">
      <c r="A132">
        <v>1</v>
      </c>
      <c r="B132" s="3">
        <v>43624.392361111109</v>
      </c>
      <c r="C132" t="s">
        <v>88</v>
      </c>
      <c r="D132">
        <v>5</v>
      </c>
      <c r="E132">
        <v>5</v>
      </c>
      <c r="F132">
        <v>-1.08</v>
      </c>
      <c r="H132">
        <v>329.17760329999999</v>
      </c>
      <c r="I132" t="s">
        <v>68</v>
      </c>
      <c r="J132">
        <v>-0.22999999999999998</v>
      </c>
      <c r="K132">
        <v>0</v>
      </c>
      <c r="L132">
        <f t="shared" si="4"/>
        <v>329</v>
      </c>
      <c r="M132">
        <f t="shared" si="5"/>
        <v>988</v>
      </c>
    </row>
    <row r="133" spans="1:13" x14ac:dyDescent="0.3">
      <c r="A133">
        <v>2</v>
      </c>
      <c r="B133" s="3">
        <v>43624.392361111109</v>
      </c>
      <c r="C133" t="s">
        <v>88</v>
      </c>
      <c r="D133">
        <v>4</v>
      </c>
      <c r="E133">
        <v>2</v>
      </c>
      <c r="F133">
        <v>0.9700000000000002</v>
      </c>
      <c r="H133">
        <v>1.6666666666666667</v>
      </c>
      <c r="I133" t="s">
        <v>50</v>
      </c>
      <c r="J133">
        <v>0.12999999999999989</v>
      </c>
      <c r="K133">
        <v>0</v>
      </c>
      <c r="L133">
        <f t="shared" si="4"/>
        <v>2</v>
      </c>
      <c r="M133">
        <f t="shared" si="5"/>
        <v>5</v>
      </c>
    </row>
    <row r="134" spans="1:13" hidden="1" x14ac:dyDescent="0.3">
      <c r="A134">
        <v>1</v>
      </c>
      <c r="B134" s="3">
        <v>43624.392361111109</v>
      </c>
      <c r="C134" t="s">
        <v>88</v>
      </c>
      <c r="D134">
        <v>4</v>
      </c>
      <c r="E134">
        <v>2</v>
      </c>
      <c r="F134">
        <v>0.9700000000000002</v>
      </c>
      <c r="H134">
        <v>129.04636939999997</v>
      </c>
      <c r="I134" t="s">
        <v>68</v>
      </c>
      <c r="J134">
        <v>0.8400000000000003</v>
      </c>
      <c r="K134">
        <v>2</v>
      </c>
      <c r="L134">
        <f t="shared" si="4"/>
        <v>129</v>
      </c>
      <c r="M134">
        <f t="shared" si="5"/>
        <v>387</v>
      </c>
    </row>
    <row r="135" spans="1:13" x14ac:dyDescent="0.3">
      <c r="A135">
        <v>6</v>
      </c>
      <c r="B135" s="3">
        <v>43624.392361111109</v>
      </c>
      <c r="C135" t="s">
        <v>88</v>
      </c>
      <c r="D135">
        <v>3</v>
      </c>
      <c r="E135">
        <v>6</v>
      </c>
      <c r="F135">
        <v>-2.29</v>
      </c>
      <c r="H135">
        <v>0.33333333333333331</v>
      </c>
      <c r="I135" t="s">
        <v>50</v>
      </c>
      <c r="J135">
        <v>1.0000000000000009E-2</v>
      </c>
      <c r="K135">
        <v>0</v>
      </c>
      <c r="L135">
        <f t="shared" si="4"/>
        <v>0</v>
      </c>
      <c r="M135">
        <f t="shared" si="5"/>
        <v>1</v>
      </c>
    </row>
    <row r="136" spans="1:13" x14ac:dyDescent="0.3">
      <c r="A136">
        <v>5</v>
      </c>
      <c r="B136" s="3">
        <v>43624.392361111109</v>
      </c>
      <c r="C136" t="s">
        <v>88</v>
      </c>
      <c r="D136">
        <v>3</v>
      </c>
      <c r="E136">
        <v>6</v>
      </c>
      <c r="F136">
        <v>-2.29</v>
      </c>
      <c r="H136">
        <v>2.1872265999999998</v>
      </c>
      <c r="I136" t="s">
        <v>50</v>
      </c>
      <c r="J136">
        <v>-0.66999999999999993</v>
      </c>
      <c r="K136" t="s">
        <v>114</v>
      </c>
      <c r="L136">
        <f t="shared" si="4"/>
        <v>2</v>
      </c>
      <c r="M136">
        <f t="shared" si="5"/>
        <v>7</v>
      </c>
    </row>
    <row r="137" spans="1:13" hidden="1" x14ac:dyDescent="0.3">
      <c r="A137">
        <v>4</v>
      </c>
      <c r="B137" s="3">
        <v>43624.392361111109</v>
      </c>
      <c r="C137" t="s">
        <v>88</v>
      </c>
      <c r="D137">
        <v>3</v>
      </c>
      <c r="E137">
        <v>6</v>
      </c>
      <c r="F137">
        <v>-2.29</v>
      </c>
      <c r="H137">
        <v>21.872265999999996</v>
      </c>
      <c r="I137" t="s">
        <v>49</v>
      </c>
      <c r="J137">
        <v>0.18999999999999972</v>
      </c>
      <c r="K137">
        <v>0</v>
      </c>
      <c r="L137">
        <f t="shared" si="4"/>
        <v>22</v>
      </c>
      <c r="M137">
        <f t="shared" si="5"/>
        <v>66</v>
      </c>
    </row>
    <row r="138" spans="1:13" hidden="1" x14ac:dyDescent="0.3">
      <c r="A138">
        <v>3</v>
      </c>
      <c r="B138" s="3">
        <v>43624.392361111109</v>
      </c>
      <c r="C138" t="s">
        <v>88</v>
      </c>
      <c r="D138">
        <v>3</v>
      </c>
      <c r="E138">
        <v>6</v>
      </c>
      <c r="F138">
        <v>-2.29</v>
      </c>
      <c r="H138">
        <v>38.276465499999993</v>
      </c>
      <c r="I138" t="s">
        <v>60</v>
      </c>
      <c r="J138">
        <v>0.27</v>
      </c>
      <c r="K138">
        <v>0</v>
      </c>
      <c r="L138">
        <f t="shared" si="4"/>
        <v>38</v>
      </c>
      <c r="M138">
        <f t="shared" si="5"/>
        <v>115</v>
      </c>
    </row>
    <row r="139" spans="1:13" hidden="1" x14ac:dyDescent="0.3">
      <c r="A139">
        <v>2</v>
      </c>
      <c r="B139" s="3">
        <v>43624.392361111109</v>
      </c>
      <c r="C139" t="s">
        <v>88</v>
      </c>
      <c r="D139">
        <v>3</v>
      </c>
      <c r="E139">
        <v>6</v>
      </c>
      <c r="F139">
        <v>-2.29</v>
      </c>
      <c r="H139">
        <v>60.148731499999997</v>
      </c>
      <c r="I139" t="s">
        <v>60</v>
      </c>
      <c r="J139">
        <v>-1</v>
      </c>
      <c r="K139">
        <v>0</v>
      </c>
      <c r="L139">
        <f t="shared" si="4"/>
        <v>60</v>
      </c>
      <c r="M139">
        <f t="shared" si="5"/>
        <v>180</v>
      </c>
    </row>
    <row r="140" spans="1:13" hidden="1" x14ac:dyDescent="0.3">
      <c r="A140">
        <v>1</v>
      </c>
      <c r="B140" s="3">
        <v>43624.392361111109</v>
      </c>
      <c r="C140" t="s">
        <v>88</v>
      </c>
      <c r="D140">
        <v>3</v>
      </c>
      <c r="E140">
        <v>6</v>
      </c>
      <c r="F140">
        <v>-2.29</v>
      </c>
      <c r="H140">
        <v>276.68416489999998</v>
      </c>
      <c r="I140" t="s">
        <v>68</v>
      </c>
      <c r="J140">
        <v>-1.0899999999999999</v>
      </c>
      <c r="K140">
        <v>0</v>
      </c>
      <c r="L140">
        <f t="shared" si="4"/>
        <v>277</v>
      </c>
      <c r="M140">
        <f t="shared" si="5"/>
        <v>830</v>
      </c>
    </row>
    <row r="141" spans="1:13" x14ac:dyDescent="0.3">
      <c r="A141">
        <v>4</v>
      </c>
      <c r="B141" s="3">
        <v>43624.392361111109</v>
      </c>
      <c r="C141" t="s">
        <v>88</v>
      </c>
      <c r="D141">
        <v>2</v>
      </c>
      <c r="E141">
        <v>4</v>
      </c>
      <c r="F141">
        <v>0.74000000000000021</v>
      </c>
      <c r="H141">
        <v>0.66666666666666663</v>
      </c>
      <c r="I141" t="s">
        <v>50</v>
      </c>
      <c r="J141">
        <v>1.0000000000000009E-2</v>
      </c>
      <c r="K141">
        <v>0</v>
      </c>
      <c r="L141">
        <f t="shared" si="4"/>
        <v>1</v>
      </c>
      <c r="M141">
        <f t="shared" si="5"/>
        <v>2</v>
      </c>
    </row>
    <row r="142" spans="1:13" x14ac:dyDescent="0.3">
      <c r="A142">
        <v>3</v>
      </c>
      <c r="B142" s="3">
        <v>43624.392361111109</v>
      </c>
      <c r="C142" t="s">
        <v>88</v>
      </c>
      <c r="D142">
        <v>2</v>
      </c>
      <c r="E142">
        <v>4</v>
      </c>
      <c r="F142">
        <v>0.74000000000000021</v>
      </c>
      <c r="H142">
        <v>4.3744531999999996</v>
      </c>
      <c r="I142" t="s">
        <v>50</v>
      </c>
      <c r="J142">
        <v>-0.29800000000000004</v>
      </c>
      <c r="K142" t="s">
        <v>113</v>
      </c>
      <c r="L142">
        <f t="shared" si="4"/>
        <v>4</v>
      </c>
      <c r="M142">
        <f t="shared" si="5"/>
        <v>13</v>
      </c>
    </row>
    <row r="143" spans="1:13" hidden="1" x14ac:dyDescent="0.3">
      <c r="A143">
        <v>2</v>
      </c>
      <c r="B143" s="3">
        <v>43624.392361111109</v>
      </c>
      <c r="C143" t="s">
        <v>88</v>
      </c>
      <c r="D143">
        <v>2</v>
      </c>
      <c r="E143">
        <v>4</v>
      </c>
      <c r="F143">
        <v>0.74000000000000021</v>
      </c>
      <c r="H143">
        <v>215.44182009999997</v>
      </c>
      <c r="I143" t="s">
        <v>48</v>
      </c>
      <c r="J143">
        <v>0.60799999999999987</v>
      </c>
      <c r="K143">
        <v>4</v>
      </c>
      <c r="L143">
        <f t="shared" si="4"/>
        <v>215</v>
      </c>
      <c r="M143">
        <f t="shared" si="5"/>
        <v>646</v>
      </c>
    </row>
    <row r="144" spans="1:13" hidden="1" x14ac:dyDescent="0.3">
      <c r="A144">
        <v>1</v>
      </c>
      <c r="B144" s="3">
        <v>43624.392361111109</v>
      </c>
      <c r="C144" t="s">
        <v>88</v>
      </c>
      <c r="D144">
        <v>2</v>
      </c>
      <c r="E144">
        <v>4</v>
      </c>
      <c r="F144">
        <v>0.74000000000000021</v>
      </c>
      <c r="H144">
        <v>513.99825099999998</v>
      </c>
      <c r="I144" t="s">
        <v>68</v>
      </c>
      <c r="J144">
        <v>0.42000000000000037</v>
      </c>
      <c r="K144">
        <v>0</v>
      </c>
      <c r="L144">
        <f t="shared" si="4"/>
        <v>514</v>
      </c>
      <c r="M144">
        <f t="shared" si="5"/>
        <v>1542</v>
      </c>
    </row>
    <row r="145" spans="1:13" x14ac:dyDescent="0.3">
      <c r="A145">
        <v>5</v>
      </c>
      <c r="B145" s="3">
        <v>43624.392361111109</v>
      </c>
      <c r="C145" t="s">
        <v>88</v>
      </c>
      <c r="D145">
        <v>1</v>
      </c>
      <c r="E145">
        <v>5</v>
      </c>
      <c r="F145">
        <v>-0.95000000000000018</v>
      </c>
      <c r="H145">
        <v>0.33333333333333331</v>
      </c>
      <c r="I145" t="s">
        <v>50</v>
      </c>
      <c r="J145">
        <v>1.0000000000000009E-2</v>
      </c>
      <c r="K145">
        <v>0</v>
      </c>
      <c r="L145">
        <f t="shared" si="4"/>
        <v>0</v>
      </c>
      <c r="M145">
        <f t="shared" si="5"/>
        <v>1</v>
      </c>
    </row>
    <row r="146" spans="1:13" x14ac:dyDescent="0.3">
      <c r="A146">
        <v>4</v>
      </c>
      <c r="B146" s="3">
        <v>43624.392361111109</v>
      </c>
      <c r="C146" t="s">
        <v>88</v>
      </c>
      <c r="D146">
        <v>1</v>
      </c>
      <c r="E146">
        <v>5</v>
      </c>
      <c r="F146">
        <v>-0.95000000000000018</v>
      </c>
      <c r="H146">
        <v>0.66666666666666663</v>
      </c>
      <c r="I146" t="s">
        <v>50</v>
      </c>
      <c r="J146">
        <v>-1</v>
      </c>
      <c r="K146">
        <v>0</v>
      </c>
      <c r="L146">
        <f t="shared" si="4"/>
        <v>1</v>
      </c>
      <c r="M146">
        <f t="shared" si="5"/>
        <v>2</v>
      </c>
    </row>
    <row r="147" spans="1:13" x14ac:dyDescent="0.3">
      <c r="A147">
        <v>3</v>
      </c>
      <c r="B147" s="3">
        <v>43624.392361111109</v>
      </c>
      <c r="C147" t="s">
        <v>88</v>
      </c>
      <c r="D147">
        <v>1</v>
      </c>
      <c r="E147">
        <v>5</v>
      </c>
      <c r="F147">
        <v>-0.95000000000000018</v>
      </c>
      <c r="H147">
        <v>4.3744531999999996</v>
      </c>
      <c r="I147" t="s">
        <v>50</v>
      </c>
      <c r="J147">
        <v>-0.29800000000000004</v>
      </c>
      <c r="K147" t="s">
        <v>113</v>
      </c>
      <c r="L147">
        <f t="shared" si="4"/>
        <v>4</v>
      </c>
      <c r="M147">
        <f t="shared" si="5"/>
        <v>13</v>
      </c>
    </row>
    <row r="148" spans="1:13" hidden="1" x14ac:dyDescent="0.3">
      <c r="A148">
        <v>2</v>
      </c>
      <c r="B148" s="3">
        <v>43624.392361111109</v>
      </c>
      <c r="C148" t="s">
        <v>88</v>
      </c>
      <c r="D148">
        <v>1</v>
      </c>
      <c r="E148">
        <v>5</v>
      </c>
      <c r="F148">
        <v>-0.95000000000000018</v>
      </c>
      <c r="H148">
        <v>167.32283489999998</v>
      </c>
      <c r="I148" t="s">
        <v>48</v>
      </c>
      <c r="J148">
        <v>0.3680000000000001</v>
      </c>
      <c r="K148">
        <v>4</v>
      </c>
      <c r="L148">
        <f t="shared" si="4"/>
        <v>167</v>
      </c>
      <c r="M148">
        <f t="shared" si="5"/>
        <v>502</v>
      </c>
    </row>
    <row r="149" spans="1:13" hidden="1" x14ac:dyDescent="0.3">
      <c r="A149">
        <v>1</v>
      </c>
      <c r="B149" s="3">
        <v>43624.392361111109</v>
      </c>
      <c r="C149" t="s">
        <v>88</v>
      </c>
      <c r="D149">
        <v>1</v>
      </c>
      <c r="E149">
        <v>5</v>
      </c>
      <c r="F149">
        <v>-0.95000000000000018</v>
      </c>
      <c r="H149">
        <v>393.70078799999999</v>
      </c>
      <c r="I149" t="s">
        <v>68</v>
      </c>
      <c r="J149">
        <v>-3.0000000000000249E-2</v>
      </c>
      <c r="K149">
        <v>0</v>
      </c>
      <c r="L149">
        <f t="shared" si="4"/>
        <v>394</v>
      </c>
      <c r="M149">
        <f t="shared" si="5"/>
        <v>1181</v>
      </c>
    </row>
    <row r="150" spans="1:13" x14ac:dyDescent="0.3">
      <c r="A150">
        <v>4</v>
      </c>
      <c r="B150" s="3">
        <v>43623.541666666664</v>
      </c>
      <c r="C150" t="s">
        <v>88</v>
      </c>
      <c r="D150">
        <v>16</v>
      </c>
      <c r="E150">
        <v>4</v>
      </c>
      <c r="F150">
        <v>-6.0000000000000053E-2</v>
      </c>
      <c r="H150">
        <v>0.33333333333333331</v>
      </c>
      <c r="I150" t="s">
        <v>50</v>
      </c>
      <c r="J150">
        <v>1.0000000000000009E-2</v>
      </c>
      <c r="K150">
        <v>0</v>
      </c>
      <c r="L150">
        <f t="shared" si="4"/>
        <v>0</v>
      </c>
      <c r="M150">
        <f t="shared" si="5"/>
        <v>1</v>
      </c>
    </row>
    <row r="151" spans="1:13" x14ac:dyDescent="0.3">
      <c r="A151">
        <v>3</v>
      </c>
      <c r="B151" s="3">
        <v>43623.541666666664</v>
      </c>
      <c r="C151" t="s">
        <v>88</v>
      </c>
      <c r="D151">
        <v>16</v>
      </c>
      <c r="E151">
        <v>4</v>
      </c>
      <c r="F151">
        <v>-6.0000000000000053E-2</v>
      </c>
      <c r="H151">
        <v>4.3744531999999996</v>
      </c>
      <c r="I151" t="s">
        <v>50</v>
      </c>
      <c r="J151">
        <v>-0.29800000000000004</v>
      </c>
      <c r="K151" t="s">
        <v>111</v>
      </c>
      <c r="L151">
        <f t="shared" si="4"/>
        <v>4</v>
      </c>
      <c r="M151">
        <f t="shared" si="5"/>
        <v>13</v>
      </c>
    </row>
    <row r="152" spans="1:13" hidden="1" x14ac:dyDescent="0.3">
      <c r="A152">
        <v>2</v>
      </c>
      <c r="B152" s="3">
        <v>43623.541666666664</v>
      </c>
      <c r="C152" t="s">
        <v>88</v>
      </c>
      <c r="D152">
        <v>16</v>
      </c>
      <c r="E152">
        <v>4</v>
      </c>
      <c r="F152">
        <v>-6.0000000000000053E-2</v>
      </c>
      <c r="H152">
        <v>164.04199499999999</v>
      </c>
      <c r="I152" t="s">
        <v>47</v>
      </c>
      <c r="J152">
        <v>0.51800000000000002</v>
      </c>
      <c r="K152">
        <v>0</v>
      </c>
      <c r="L152">
        <f t="shared" si="4"/>
        <v>164</v>
      </c>
      <c r="M152">
        <f t="shared" si="5"/>
        <v>492</v>
      </c>
    </row>
    <row r="153" spans="1:13" hidden="1" x14ac:dyDescent="0.3">
      <c r="A153">
        <v>1</v>
      </c>
      <c r="B153" s="3">
        <v>43623.541666666664</v>
      </c>
      <c r="C153" t="s">
        <v>88</v>
      </c>
      <c r="D153">
        <v>16</v>
      </c>
      <c r="E153">
        <v>4</v>
      </c>
      <c r="F153">
        <v>-6.0000000000000053E-2</v>
      </c>
      <c r="H153">
        <v>344.48818949999998</v>
      </c>
      <c r="I153" t="s">
        <v>68</v>
      </c>
      <c r="J153">
        <v>-0.29000000000000004</v>
      </c>
      <c r="K153">
        <v>0</v>
      </c>
      <c r="L153">
        <f t="shared" si="4"/>
        <v>344</v>
      </c>
      <c r="M153">
        <f t="shared" si="5"/>
        <v>1033</v>
      </c>
    </row>
    <row r="154" spans="1:13" x14ac:dyDescent="0.3">
      <c r="A154">
        <v>5</v>
      </c>
      <c r="B154" s="3">
        <v>43623.541666666664</v>
      </c>
      <c r="C154" t="s">
        <v>88</v>
      </c>
      <c r="D154">
        <v>15</v>
      </c>
      <c r="E154">
        <v>5</v>
      </c>
      <c r="F154">
        <v>-0.92250000000000032</v>
      </c>
      <c r="H154">
        <v>0.33333333333333331</v>
      </c>
      <c r="I154" t="s">
        <v>50</v>
      </c>
      <c r="J154">
        <v>1.0000000000000009E-2</v>
      </c>
      <c r="K154">
        <v>0</v>
      </c>
      <c r="L154">
        <f t="shared" si="4"/>
        <v>0</v>
      </c>
      <c r="M154">
        <f t="shared" si="5"/>
        <v>1</v>
      </c>
    </row>
    <row r="155" spans="1:13" x14ac:dyDescent="0.3">
      <c r="A155">
        <v>4</v>
      </c>
      <c r="B155" s="3">
        <v>43623.541666666664</v>
      </c>
      <c r="C155" t="s">
        <v>88</v>
      </c>
      <c r="D155">
        <v>15</v>
      </c>
      <c r="E155">
        <v>5</v>
      </c>
      <c r="F155">
        <v>-0.92250000000000032</v>
      </c>
      <c r="H155">
        <v>8.7489063999999992</v>
      </c>
      <c r="I155" t="s">
        <v>50</v>
      </c>
      <c r="J155">
        <v>-7.0000000000000062E-2</v>
      </c>
      <c r="K155" t="s">
        <v>115</v>
      </c>
      <c r="L155">
        <f t="shared" si="4"/>
        <v>9</v>
      </c>
      <c r="M155">
        <f t="shared" si="5"/>
        <v>26</v>
      </c>
    </row>
    <row r="156" spans="1:13" hidden="1" x14ac:dyDescent="0.3">
      <c r="A156">
        <v>3</v>
      </c>
      <c r="B156" s="3">
        <v>43623.541666666664</v>
      </c>
      <c r="C156" t="s">
        <v>88</v>
      </c>
      <c r="D156">
        <v>15</v>
      </c>
      <c r="E156">
        <v>5</v>
      </c>
      <c r="F156">
        <v>-0.92250000000000032</v>
      </c>
      <c r="H156">
        <v>132.32720929999999</v>
      </c>
      <c r="I156" t="s">
        <v>47</v>
      </c>
      <c r="J156">
        <v>0.20999999999999996</v>
      </c>
      <c r="K156">
        <v>0</v>
      </c>
      <c r="L156">
        <f t="shared" si="4"/>
        <v>132</v>
      </c>
      <c r="M156">
        <f t="shared" si="5"/>
        <v>397</v>
      </c>
    </row>
    <row r="157" spans="1:13" hidden="1" x14ac:dyDescent="0.3">
      <c r="A157">
        <v>2</v>
      </c>
      <c r="B157" s="3">
        <v>43623.541666666664</v>
      </c>
      <c r="C157" t="s">
        <v>88</v>
      </c>
      <c r="D157">
        <v>15</v>
      </c>
      <c r="E157">
        <v>5</v>
      </c>
      <c r="F157">
        <v>-0.92250000000000032</v>
      </c>
      <c r="H157">
        <v>136.7016625</v>
      </c>
      <c r="I157" t="s">
        <v>60</v>
      </c>
      <c r="J157">
        <v>-0.35000000000000009</v>
      </c>
      <c r="K157">
        <v>0</v>
      </c>
      <c r="L157">
        <f t="shared" si="4"/>
        <v>137</v>
      </c>
      <c r="M157">
        <f t="shared" si="5"/>
        <v>410</v>
      </c>
    </row>
    <row r="158" spans="1:13" hidden="1" x14ac:dyDescent="0.3">
      <c r="A158">
        <v>1</v>
      </c>
      <c r="B158" s="3">
        <v>43623.541666666664</v>
      </c>
      <c r="C158" t="s">
        <v>88</v>
      </c>
      <c r="D158">
        <v>15</v>
      </c>
      <c r="E158">
        <v>5</v>
      </c>
      <c r="F158">
        <v>-0.92250000000000032</v>
      </c>
      <c r="H158">
        <v>398.07524119999994</v>
      </c>
      <c r="I158" t="s">
        <v>68</v>
      </c>
      <c r="J158">
        <v>-0.72250000000000014</v>
      </c>
      <c r="K158">
        <v>0</v>
      </c>
      <c r="L158">
        <f t="shared" si="4"/>
        <v>398</v>
      </c>
      <c r="M158">
        <f t="shared" si="5"/>
        <v>1194</v>
      </c>
    </row>
    <row r="159" spans="1:13" x14ac:dyDescent="0.3">
      <c r="A159">
        <v>4</v>
      </c>
      <c r="B159" s="3">
        <v>43623.541666666664</v>
      </c>
      <c r="C159" t="s">
        <v>88</v>
      </c>
      <c r="D159">
        <v>14</v>
      </c>
      <c r="E159">
        <v>4</v>
      </c>
      <c r="F159">
        <v>0.28000000000000047</v>
      </c>
      <c r="H159">
        <v>2</v>
      </c>
      <c r="I159" t="s">
        <v>50</v>
      </c>
      <c r="J159">
        <v>0.34000000000000008</v>
      </c>
      <c r="K159">
        <v>0</v>
      </c>
      <c r="L159">
        <f t="shared" si="4"/>
        <v>2</v>
      </c>
      <c r="M159">
        <f t="shared" si="5"/>
        <v>6</v>
      </c>
    </row>
    <row r="160" spans="1:13" hidden="1" x14ac:dyDescent="0.3">
      <c r="A160">
        <v>3</v>
      </c>
      <c r="B160" s="3">
        <v>43623.541666666664</v>
      </c>
      <c r="C160" t="s">
        <v>88</v>
      </c>
      <c r="D160">
        <v>14</v>
      </c>
      <c r="E160">
        <v>4</v>
      </c>
      <c r="F160">
        <v>0.28000000000000047</v>
      </c>
      <c r="H160">
        <v>13.123359599999999</v>
      </c>
      <c r="I160" t="s">
        <v>47</v>
      </c>
      <c r="J160">
        <v>0</v>
      </c>
      <c r="K160">
        <v>0</v>
      </c>
      <c r="L160">
        <f t="shared" si="4"/>
        <v>13</v>
      </c>
      <c r="M160">
        <f t="shared" si="5"/>
        <v>39</v>
      </c>
    </row>
    <row r="161" spans="1:13" hidden="1" x14ac:dyDescent="0.3">
      <c r="A161">
        <v>2</v>
      </c>
      <c r="B161" s="3">
        <v>43623.541666666664</v>
      </c>
      <c r="C161" t="s">
        <v>88</v>
      </c>
      <c r="D161">
        <v>14</v>
      </c>
      <c r="E161">
        <v>4</v>
      </c>
      <c r="F161">
        <v>0.28000000000000047</v>
      </c>
      <c r="H161">
        <v>166.22922159999999</v>
      </c>
      <c r="I161" t="s">
        <v>48</v>
      </c>
      <c r="J161">
        <v>-0.25999999999999979</v>
      </c>
      <c r="K161">
        <v>12</v>
      </c>
      <c r="L161">
        <f t="shared" si="4"/>
        <v>166</v>
      </c>
      <c r="M161">
        <f t="shared" si="5"/>
        <v>499</v>
      </c>
    </row>
    <row r="162" spans="1:13" hidden="1" x14ac:dyDescent="0.3">
      <c r="A162">
        <v>1</v>
      </c>
      <c r="B162" s="3">
        <v>43623.541666666664</v>
      </c>
      <c r="C162" t="s">
        <v>88</v>
      </c>
      <c r="D162">
        <v>14</v>
      </c>
      <c r="E162">
        <v>4</v>
      </c>
      <c r="F162">
        <v>0.28000000000000047</v>
      </c>
      <c r="H162">
        <v>447.28783969999995</v>
      </c>
      <c r="I162" t="s">
        <v>68</v>
      </c>
      <c r="J162">
        <v>0.20000000000000018</v>
      </c>
      <c r="K162">
        <v>0</v>
      </c>
      <c r="L162">
        <f t="shared" si="4"/>
        <v>447</v>
      </c>
      <c r="M162">
        <f t="shared" si="5"/>
        <v>1342</v>
      </c>
    </row>
    <row r="163" spans="1:13" x14ac:dyDescent="0.3">
      <c r="A163">
        <v>5</v>
      </c>
      <c r="B163" s="3">
        <v>43623.541666666664</v>
      </c>
      <c r="C163" t="s">
        <v>88</v>
      </c>
      <c r="D163">
        <v>13</v>
      </c>
      <c r="E163">
        <v>5</v>
      </c>
      <c r="F163">
        <v>-0.20999999999999996</v>
      </c>
      <c r="H163">
        <v>0.66666666666666663</v>
      </c>
      <c r="I163" t="s">
        <v>50</v>
      </c>
      <c r="J163">
        <v>1.0000000000000009E-2</v>
      </c>
      <c r="K163">
        <v>0</v>
      </c>
      <c r="L163">
        <f t="shared" si="4"/>
        <v>1</v>
      </c>
      <c r="M163">
        <f t="shared" si="5"/>
        <v>2</v>
      </c>
    </row>
    <row r="164" spans="1:13" x14ac:dyDescent="0.3">
      <c r="A164">
        <v>4</v>
      </c>
      <c r="B164" s="3">
        <v>43623.541666666664</v>
      </c>
      <c r="C164" t="s">
        <v>88</v>
      </c>
      <c r="D164">
        <v>13</v>
      </c>
      <c r="E164">
        <v>5</v>
      </c>
      <c r="F164">
        <v>-0.20999999999999996</v>
      </c>
      <c r="H164">
        <v>15.310586199999999</v>
      </c>
      <c r="I164" t="s">
        <v>50</v>
      </c>
      <c r="J164">
        <v>9.8000000000000087E-2</v>
      </c>
      <c r="K164" t="s">
        <v>115</v>
      </c>
      <c r="L164">
        <f t="shared" si="4"/>
        <v>15</v>
      </c>
      <c r="M164">
        <f t="shared" si="5"/>
        <v>46</v>
      </c>
    </row>
    <row r="165" spans="1:13" hidden="1" x14ac:dyDescent="0.3">
      <c r="A165">
        <v>3</v>
      </c>
      <c r="B165" s="3">
        <v>43623.541666666664</v>
      </c>
      <c r="C165" t="s">
        <v>88</v>
      </c>
      <c r="D165">
        <v>13</v>
      </c>
      <c r="E165">
        <v>5</v>
      </c>
      <c r="F165">
        <v>-0.20999999999999996</v>
      </c>
      <c r="H165">
        <v>190.28871419999999</v>
      </c>
      <c r="I165" t="s">
        <v>48</v>
      </c>
      <c r="J165">
        <v>8.1999999999999851E-2</v>
      </c>
      <c r="K165">
        <v>0</v>
      </c>
      <c r="L165">
        <f t="shared" si="4"/>
        <v>190</v>
      </c>
      <c r="M165">
        <f t="shared" si="5"/>
        <v>571</v>
      </c>
    </row>
    <row r="166" spans="1:13" hidden="1" x14ac:dyDescent="0.3">
      <c r="A166">
        <v>2</v>
      </c>
      <c r="B166" s="3">
        <v>43623.541666666664</v>
      </c>
      <c r="C166" t="s">
        <v>88</v>
      </c>
      <c r="D166">
        <v>13</v>
      </c>
      <c r="E166">
        <v>5</v>
      </c>
      <c r="F166">
        <v>-0.20999999999999996</v>
      </c>
      <c r="H166">
        <v>351.04986929999995</v>
      </c>
      <c r="I166" t="s">
        <v>48</v>
      </c>
      <c r="J166">
        <v>-0.1599999999999997</v>
      </c>
      <c r="K166">
        <v>0</v>
      </c>
      <c r="L166">
        <f t="shared" si="4"/>
        <v>351</v>
      </c>
      <c r="M166">
        <f t="shared" si="5"/>
        <v>1053</v>
      </c>
    </row>
    <row r="167" spans="1:13" hidden="1" x14ac:dyDescent="0.3">
      <c r="A167">
        <v>1</v>
      </c>
      <c r="B167" s="3">
        <v>43623.541666666664</v>
      </c>
      <c r="C167" t="s">
        <v>88</v>
      </c>
      <c r="D167">
        <v>13</v>
      </c>
      <c r="E167">
        <v>5</v>
      </c>
      <c r="F167">
        <v>-0.20999999999999996</v>
      </c>
      <c r="H167">
        <v>541.33858349999991</v>
      </c>
      <c r="I167" t="s">
        <v>68</v>
      </c>
      <c r="J167">
        <v>-0.24000000000000021</v>
      </c>
      <c r="K167">
        <v>0</v>
      </c>
      <c r="L167">
        <f t="shared" si="4"/>
        <v>541</v>
      </c>
      <c r="M167">
        <f t="shared" si="5"/>
        <v>1624</v>
      </c>
    </row>
    <row r="168" spans="1:13" x14ac:dyDescent="0.3">
      <c r="A168">
        <v>5</v>
      </c>
      <c r="B168" s="3">
        <v>43623.541666666664</v>
      </c>
      <c r="C168" t="s">
        <v>88</v>
      </c>
      <c r="D168">
        <v>12</v>
      </c>
      <c r="E168">
        <v>5</v>
      </c>
      <c r="F168">
        <v>-1.915</v>
      </c>
      <c r="H168">
        <v>0.33333333333333331</v>
      </c>
      <c r="I168" t="s">
        <v>50</v>
      </c>
      <c r="J168">
        <v>1.0000000000000009E-2</v>
      </c>
      <c r="K168">
        <v>0</v>
      </c>
      <c r="L168">
        <f t="shared" si="4"/>
        <v>0</v>
      </c>
      <c r="M168">
        <f t="shared" si="5"/>
        <v>1</v>
      </c>
    </row>
    <row r="169" spans="1:13" x14ac:dyDescent="0.3">
      <c r="A169">
        <v>4</v>
      </c>
      <c r="B169" s="3">
        <v>43623.541666666664</v>
      </c>
      <c r="C169" t="s">
        <v>88</v>
      </c>
      <c r="D169">
        <v>12</v>
      </c>
      <c r="E169">
        <v>5</v>
      </c>
      <c r="F169">
        <v>-1.915</v>
      </c>
      <c r="H169">
        <v>1.3333333333333333</v>
      </c>
      <c r="I169" t="s">
        <v>50</v>
      </c>
      <c r="J169">
        <v>-0.88000000000000012</v>
      </c>
      <c r="K169">
        <v>0</v>
      </c>
      <c r="L169">
        <f t="shared" si="4"/>
        <v>1</v>
      </c>
      <c r="M169">
        <f t="shared" si="5"/>
        <v>4</v>
      </c>
    </row>
    <row r="170" spans="1:13" x14ac:dyDescent="0.3">
      <c r="A170">
        <v>3</v>
      </c>
      <c r="B170" s="3">
        <v>43623.541666666664</v>
      </c>
      <c r="C170" t="s">
        <v>88</v>
      </c>
      <c r="D170">
        <v>12</v>
      </c>
      <c r="E170">
        <v>5</v>
      </c>
      <c r="F170">
        <v>-1.915</v>
      </c>
      <c r="H170">
        <v>4.3744531999999996</v>
      </c>
      <c r="I170" t="s">
        <v>50</v>
      </c>
      <c r="J170">
        <v>-0.41799999999999993</v>
      </c>
      <c r="K170" t="s">
        <v>115</v>
      </c>
      <c r="L170">
        <f t="shared" si="4"/>
        <v>4</v>
      </c>
      <c r="M170">
        <f t="shared" si="5"/>
        <v>13</v>
      </c>
    </row>
    <row r="171" spans="1:13" hidden="1" x14ac:dyDescent="0.3">
      <c r="A171">
        <v>2</v>
      </c>
      <c r="B171" s="3">
        <v>43623.541666666664</v>
      </c>
      <c r="C171" t="s">
        <v>88</v>
      </c>
      <c r="D171">
        <v>12</v>
      </c>
      <c r="E171">
        <v>5</v>
      </c>
      <c r="F171">
        <v>-1.915</v>
      </c>
      <c r="H171">
        <v>37.182852199999999</v>
      </c>
      <c r="I171" t="s">
        <v>47</v>
      </c>
      <c r="J171">
        <v>6.7999999999999838E-2</v>
      </c>
      <c r="K171">
        <v>0</v>
      </c>
      <c r="L171">
        <f t="shared" si="4"/>
        <v>37</v>
      </c>
      <c r="M171">
        <f t="shared" si="5"/>
        <v>112</v>
      </c>
    </row>
    <row r="172" spans="1:13" hidden="1" x14ac:dyDescent="0.3">
      <c r="A172">
        <v>1</v>
      </c>
      <c r="B172" s="3">
        <v>43623.541666666664</v>
      </c>
      <c r="C172" t="s">
        <v>88</v>
      </c>
      <c r="D172">
        <v>12</v>
      </c>
      <c r="E172">
        <v>5</v>
      </c>
      <c r="F172">
        <v>-1.915</v>
      </c>
      <c r="H172">
        <v>182.63342109999999</v>
      </c>
      <c r="I172" t="s">
        <v>68</v>
      </c>
      <c r="J172">
        <v>-0.69499999999999984</v>
      </c>
      <c r="K172">
        <v>34</v>
      </c>
      <c r="L172">
        <f t="shared" si="4"/>
        <v>183</v>
      </c>
      <c r="M172">
        <f t="shared" si="5"/>
        <v>548</v>
      </c>
    </row>
    <row r="173" spans="1:13" x14ac:dyDescent="0.3">
      <c r="A173">
        <v>5</v>
      </c>
      <c r="B173" s="3">
        <v>43616.541666666664</v>
      </c>
      <c r="C173" t="s">
        <v>94</v>
      </c>
      <c r="D173">
        <v>9</v>
      </c>
      <c r="E173">
        <v>5</v>
      </c>
      <c r="F173">
        <v>-1.9500000000000002</v>
      </c>
      <c r="H173">
        <v>0.33333333333333331</v>
      </c>
      <c r="I173" t="s">
        <v>50</v>
      </c>
      <c r="J173">
        <v>1.0000000000000009E-2</v>
      </c>
      <c r="K173">
        <v>0</v>
      </c>
      <c r="L173">
        <f t="shared" si="4"/>
        <v>0</v>
      </c>
      <c r="M173">
        <f t="shared" si="5"/>
        <v>1</v>
      </c>
    </row>
    <row r="174" spans="1:13" x14ac:dyDescent="0.3">
      <c r="A174">
        <v>4</v>
      </c>
      <c r="B174" s="3">
        <v>43616.541666666664</v>
      </c>
      <c r="C174" t="s">
        <v>94</v>
      </c>
      <c r="D174">
        <v>9</v>
      </c>
      <c r="E174">
        <v>5</v>
      </c>
      <c r="F174">
        <v>-1.9500000000000002</v>
      </c>
      <c r="H174">
        <v>3.2808398999999997</v>
      </c>
      <c r="I174" t="s">
        <v>50</v>
      </c>
      <c r="J174">
        <v>-0.44999999999999996</v>
      </c>
      <c r="K174" t="s">
        <v>115</v>
      </c>
      <c r="L174">
        <f t="shared" si="4"/>
        <v>3</v>
      </c>
      <c r="M174">
        <f t="shared" si="5"/>
        <v>10</v>
      </c>
    </row>
    <row r="175" spans="1:13" hidden="1" x14ac:dyDescent="0.3">
      <c r="A175">
        <v>2</v>
      </c>
      <c r="B175" s="3">
        <v>43616.541666666664</v>
      </c>
      <c r="C175" t="s">
        <v>94</v>
      </c>
      <c r="D175">
        <v>9</v>
      </c>
      <c r="E175">
        <v>5</v>
      </c>
      <c r="F175">
        <v>-1.9500000000000002</v>
      </c>
      <c r="H175">
        <v>21.872265999999996</v>
      </c>
      <c r="I175" t="s">
        <v>47</v>
      </c>
      <c r="J175">
        <v>-0.94</v>
      </c>
      <c r="K175">
        <v>0</v>
      </c>
      <c r="L175">
        <f t="shared" si="4"/>
        <v>22</v>
      </c>
      <c r="M175">
        <f t="shared" si="5"/>
        <v>66</v>
      </c>
    </row>
    <row r="176" spans="1:13" hidden="1" x14ac:dyDescent="0.3">
      <c r="A176">
        <v>3</v>
      </c>
      <c r="B176" s="3">
        <v>43616.541666666664</v>
      </c>
      <c r="C176" t="s">
        <v>94</v>
      </c>
      <c r="D176">
        <v>9</v>
      </c>
      <c r="E176">
        <v>5</v>
      </c>
      <c r="F176">
        <v>-1.9500000000000002</v>
      </c>
      <c r="H176">
        <v>27.340332499999999</v>
      </c>
      <c r="I176" t="s">
        <v>49</v>
      </c>
      <c r="J176">
        <v>-3.0000000000000249E-2</v>
      </c>
      <c r="K176">
        <v>0</v>
      </c>
      <c r="L176">
        <f t="shared" si="4"/>
        <v>27</v>
      </c>
      <c r="M176">
        <f t="shared" si="5"/>
        <v>82</v>
      </c>
    </row>
    <row r="177" spans="1:13" hidden="1" x14ac:dyDescent="0.3">
      <c r="A177">
        <v>1</v>
      </c>
      <c r="B177" s="3">
        <v>43616.541666666664</v>
      </c>
      <c r="C177" t="s">
        <v>94</v>
      </c>
      <c r="D177">
        <v>9</v>
      </c>
      <c r="E177">
        <v>5</v>
      </c>
      <c r="F177">
        <v>-1.9500000000000002</v>
      </c>
      <c r="H177">
        <v>167.32283489999998</v>
      </c>
      <c r="I177" t="s">
        <v>68</v>
      </c>
      <c r="J177">
        <v>-0.54</v>
      </c>
      <c r="K177">
        <v>0</v>
      </c>
      <c r="L177">
        <f t="shared" si="4"/>
        <v>167</v>
      </c>
      <c r="M177">
        <f t="shared" si="5"/>
        <v>502</v>
      </c>
    </row>
    <row r="178" spans="1:13" x14ac:dyDescent="0.3">
      <c r="A178">
        <v>4</v>
      </c>
      <c r="B178" s="3">
        <v>43616.541666666664</v>
      </c>
      <c r="C178" t="s">
        <v>94</v>
      </c>
      <c r="D178">
        <v>8</v>
      </c>
      <c r="E178">
        <v>4</v>
      </c>
      <c r="F178">
        <v>0.82000000000000028</v>
      </c>
      <c r="H178">
        <v>0.66666666666666663</v>
      </c>
      <c r="I178" t="s">
        <v>50</v>
      </c>
      <c r="J178">
        <v>1.0000000000000009E-2</v>
      </c>
      <c r="K178">
        <v>0</v>
      </c>
      <c r="L178">
        <f t="shared" si="4"/>
        <v>1</v>
      </c>
      <c r="M178">
        <f t="shared" si="5"/>
        <v>2</v>
      </c>
    </row>
    <row r="179" spans="1:13" hidden="1" x14ac:dyDescent="0.3">
      <c r="A179">
        <v>3</v>
      </c>
      <c r="B179" s="3">
        <v>43616.541666666664</v>
      </c>
      <c r="C179" t="s">
        <v>94</v>
      </c>
      <c r="D179">
        <v>8</v>
      </c>
      <c r="E179">
        <v>4</v>
      </c>
      <c r="F179">
        <v>0.82000000000000028</v>
      </c>
      <c r="H179">
        <v>37.182852199999999</v>
      </c>
      <c r="I179" t="s">
        <v>47</v>
      </c>
      <c r="J179">
        <v>0.7699999999999998</v>
      </c>
      <c r="K179">
        <v>0</v>
      </c>
      <c r="L179">
        <f t="shared" si="4"/>
        <v>37</v>
      </c>
      <c r="M179">
        <f t="shared" si="5"/>
        <v>112</v>
      </c>
    </row>
    <row r="180" spans="1:13" hidden="1" x14ac:dyDescent="0.3">
      <c r="A180">
        <v>2</v>
      </c>
      <c r="B180" s="3">
        <v>43616.541666666664</v>
      </c>
      <c r="C180" t="s">
        <v>94</v>
      </c>
      <c r="D180">
        <v>8</v>
      </c>
      <c r="E180">
        <v>4</v>
      </c>
      <c r="F180">
        <v>0.82000000000000028</v>
      </c>
      <c r="H180">
        <v>157.48031519999998</v>
      </c>
      <c r="I180" t="s">
        <v>47</v>
      </c>
      <c r="J180">
        <v>-0.54999999999999982</v>
      </c>
      <c r="K180">
        <v>0</v>
      </c>
      <c r="L180">
        <f t="shared" si="4"/>
        <v>157</v>
      </c>
      <c r="M180">
        <f t="shared" si="5"/>
        <v>472</v>
      </c>
    </row>
    <row r="181" spans="1:13" hidden="1" x14ac:dyDescent="0.3">
      <c r="A181">
        <v>1</v>
      </c>
      <c r="B181" s="3">
        <v>43616.541666666664</v>
      </c>
      <c r="C181" t="s">
        <v>94</v>
      </c>
      <c r="D181">
        <v>8</v>
      </c>
      <c r="E181">
        <v>4</v>
      </c>
      <c r="F181">
        <v>0.82000000000000028</v>
      </c>
      <c r="H181">
        <v>567.58530269999994</v>
      </c>
      <c r="I181" t="s">
        <v>68</v>
      </c>
      <c r="J181">
        <v>0.5900000000000003</v>
      </c>
      <c r="K181">
        <v>0</v>
      </c>
      <c r="L181">
        <f t="shared" si="4"/>
        <v>568</v>
      </c>
      <c r="M181">
        <f t="shared" si="5"/>
        <v>1703</v>
      </c>
    </row>
    <row r="182" spans="1:13" x14ac:dyDescent="0.3">
      <c r="A182">
        <v>7</v>
      </c>
      <c r="B182" s="3">
        <v>43616.541666666664</v>
      </c>
      <c r="C182" t="s">
        <v>94</v>
      </c>
      <c r="D182">
        <v>7</v>
      </c>
      <c r="E182">
        <v>7</v>
      </c>
      <c r="F182">
        <v>-2.7750000000000004</v>
      </c>
      <c r="H182">
        <v>0.33333333333333331</v>
      </c>
      <c r="I182" t="s">
        <v>50</v>
      </c>
      <c r="J182">
        <v>1.0000000000000009E-2</v>
      </c>
      <c r="K182">
        <v>0</v>
      </c>
      <c r="L182">
        <f t="shared" si="4"/>
        <v>0</v>
      </c>
      <c r="M182">
        <f t="shared" si="5"/>
        <v>1</v>
      </c>
    </row>
    <row r="183" spans="1:13" x14ac:dyDescent="0.3">
      <c r="A183">
        <v>6</v>
      </c>
      <c r="B183" s="3">
        <v>43616.541666666664</v>
      </c>
      <c r="C183" t="s">
        <v>94</v>
      </c>
      <c r="D183">
        <v>7</v>
      </c>
      <c r="E183">
        <v>7</v>
      </c>
      <c r="F183">
        <v>-2.7750000000000004</v>
      </c>
      <c r="H183">
        <v>3.2808398999999997</v>
      </c>
      <c r="I183" t="s">
        <v>50</v>
      </c>
      <c r="J183">
        <v>-0.44999999999999996</v>
      </c>
      <c r="K183" t="s">
        <v>115</v>
      </c>
      <c r="L183">
        <f t="shared" si="4"/>
        <v>3</v>
      </c>
      <c r="M183">
        <f t="shared" si="5"/>
        <v>10</v>
      </c>
    </row>
    <row r="184" spans="1:13" hidden="1" x14ac:dyDescent="0.3">
      <c r="A184">
        <v>5</v>
      </c>
      <c r="B184" s="3">
        <v>43616.541666666664</v>
      </c>
      <c r="C184" t="s">
        <v>94</v>
      </c>
      <c r="D184">
        <v>7</v>
      </c>
      <c r="E184">
        <v>7</v>
      </c>
      <c r="F184">
        <v>-2.7750000000000004</v>
      </c>
      <c r="H184">
        <v>14.216972899999998</v>
      </c>
      <c r="I184" t="s">
        <v>47</v>
      </c>
      <c r="J184">
        <v>-8.9999999999999858E-2</v>
      </c>
      <c r="K184">
        <v>0</v>
      </c>
      <c r="L184">
        <f t="shared" si="4"/>
        <v>14</v>
      </c>
      <c r="M184">
        <f t="shared" si="5"/>
        <v>43</v>
      </c>
    </row>
    <row r="185" spans="1:13" hidden="1" x14ac:dyDescent="0.3">
      <c r="A185">
        <v>4</v>
      </c>
      <c r="B185" s="3">
        <v>43616.541666666664</v>
      </c>
      <c r="C185" t="s">
        <v>94</v>
      </c>
      <c r="D185">
        <v>7</v>
      </c>
      <c r="E185">
        <v>7</v>
      </c>
      <c r="F185">
        <v>-2.7750000000000004</v>
      </c>
      <c r="H185">
        <v>87.489063999999985</v>
      </c>
      <c r="I185" t="s">
        <v>48</v>
      </c>
      <c r="J185">
        <v>-0.7200000000000002</v>
      </c>
      <c r="K185">
        <v>0</v>
      </c>
      <c r="L185">
        <f t="shared" si="4"/>
        <v>87</v>
      </c>
      <c r="M185">
        <f t="shared" si="5"/>
        <v>262</v>
      </c>
    </row>
    <row r="186" spans="1:13" hidden="1" x14ac:dyDescent="0.3">
      <c r="A186">
        <v>3</v>
      </c>
      <c r="B186" s="3">
        <v>43616.541666666664</v>
      </c>
      <c r="C186" t="s">
        <v>94</v>
      </c>
      <c r="D186">
        <v>7</v>
      </c>
      <c r="E186">
        <v>7</v>
      </c>
      <c r="F186">
        <v>-2.7750000000000004</v>
      </c>
      <c r="H186">
        <v>153.10586199999997</v>
      </c>
      <c r="I186" t="s">
        <v>47</v>
      </c>
      <c r="J186">
        <v>-0.52</v>
      </c>
      <c r="K186">
        <v>0</v>
      </c>
      <c r="L186">
        <f t="shared" si="4"/>
        <v>153</v>
      </c>
      <c r="M186">
        <f t="shared" si="5"/>
        <v>459</v>
      </c>
    </row>
    <row r="187" spans="1:13" hidden="1" x14ac:dyDescent="0.3">
      <c r="A187">
        <v>2</v>
      </c>
      <c r="B187" s="3">
        <v>43616.541666666664</v>
      </c>
      <c r="C187" t="s">
        <v>94</v>
      </c>
      <c r="D187">
        <v>7</v>
      </c>
      <c r="E187">
        <v>7</v>
      </c>
      <c r="F187">
        <v>-2.7750000000000004</v>
      </c>
      <c r="H187">
        <v>169.51006149999998</v>
      </c>
      <c r="I187" t="s">
        <v>60</v>
      </c>
      <c r="J187">
        <v>-0.41000000000000014</v>
      </c>
      <c r="K187">
        <v>0</v>
      </c>
      <c r="L187">
        <f t="shared" si="4"/>
        <v>170</v>
      </c>
      <c r="M187">
        <f t="shared" si="5"/>
        <v>509</v>
      </c>
    </row>
    <row r="188" spans="1:13" hidden="1" x14ac:dyDescent="0.3">
      <c r="A188">
        <v>1</v>
      </c>
      <c r="B188" s="3">
        <v>43616.541666666664</v>
      </c>
      <c r="C188" t="s">
        <v>94</v>
      </c>
      <c r="D188">
        <v>7</v>
      </c>
      <c r="E188">
        <v>7</v>
      </c>
      <c r="F188">
        <v>-2.7750000000000004</v>
      </c>
      <c r="H188">
        <v>431.97725349999996</v>
      </c>
      <c r="I188" t="s">
        <v>68</v>
      </c>
      <c r="J188">
        <v>-0.5950000000000002</v>
      </c>
      <c r="K188">
        <v>0</v>
      </c>
      <c r="L188">
        <f t="shared" si="4"/>
        <v>432</v>
      </c>
      <c r="M188">
        <f t="shared" si="5"/>
        <v>1296</v>
      </c>
    </row>
    <row r="189" spans="1:13" x14ac:dyDescent="0.3">
      <c r="A189">
        <v>5</v>
      </c>
      <c r="B189" s="3">
        <v>43616.541666666664</v>
      </c>
      <c r="C189" t="s">
        <v>94</v>
      </c>
      <c r="D189">
        <v>6</v>
      </c>
      <c r="E189">
        <v>5</v>
      </c>
      <c r="F189">
        <v>-1.79</v>
      </c>
      <c r="H189">
        <v>1.6666666666666667</v>
      </c>
      <c r="I189" t="s">
        <v>50</v>
      </c>
      <c r="J189">
        <v>0.12999999999999989</v>
      </c>
      <c r="K189">
        <v>0</v>
      </c>
      <c r="L189">
        <f t="shared" si="4"/>
        <v>2</v>
      </c>
      <c r="M189">
        <f t="shared" si="5"/>
        <v>5</v>
      </c>
    </row>
    <row r="190" spans="1:13" x14ac:dyDescent="0.3">
      <c r="A190">
        <v>4</v>
      </c>
      <c r="B190" s="3">
        <v>43616.541666666664</v>
      </c>
      <c r="C190" t="s">
        <v>94</v>
      </c>
      <c r="D190">
        <v>6</v>
      </c>
      <c r="E190">
        <v>5</v>
      </c>
      <c r="F190">
        <v>-1.79</v>
      </c>
      <c r="H190">
        <v>7.6552930999999997</v>
      </c>
      <c r="I190" t="s">
        <v>50</v>
      </c>
      <c r="J190">
        <v>-0.23599999999999999</v>
      </c>
      <c r="K190" t="s">
        <v>115</v>
      </c>
      <c r="L190">
        <f t="shared" si="4"/>
        <v>8</v>
      </c>
      <c r="M190">
        <f t="shared" si="5"/>
        <v>23</v>
      </c>
    </row>
    <row r="191" spans="1:13" hidden="1" x14ac:dyDescent="0.3">
      <c r="A191">
        <v>3</v>
      </c>
      <c r="B191" s="3">
        <v>43616.541666666664</v>
      </c>
      <c r="C191" t="s">
        <v>94</v>
      </c>
      <c r="D191">
        <v>6</v>
      </c>
      <c r="E191">
        <v>5</v>
      </c>
      <c r="F191">
        <v>-1.79</v>
      </c>
      <c r="H191">
        <v>15.310586199999999</v>
      </c>
      <c r="I191" t="s">
        <v>47</v>
      </c>
      <c r="J191">
        <v>-0.42399999999999971</v>
      </c>
      <c r="K191">
        <v>0</v>
      </c>
      <c r="L191">
        <f t="shared" si="4"/>
        <v>15</v>
      </c>
      <c r="M191">
        <f t="shared" si="5"/>
        <v>46</v>
      </c>
    </row>
    <row r="192" spans="1:13" hidden="1" x14ac:dyDescent="0.3">
      <c r="A192">
        <v>2</v>
      </c>
      <c r="B192" s="3">
        <v>43616.541666666664</v>
      </c>
      <c r="C192" t="s">
        <v>94</v>
      </c>
      <c r="D192">
        <v>6</v>
      </c>
      <c r="E192">
        <v>5</v>
      </c>
      <c r="F192">
        <v>-1.79</v>
      </c>
      <c r="H192">
        <v>19.685039399999997</v>
      </c>
      <c r="I192" t="s">
        <v>47</v>
      </c>
      <c r="J192">
        <v>-0.88000000000000034</v>
      </c>
      <c r="K192">
        <v>0</v>
      </c>
      <c r="L192">
        <f t="shared" si="4"/>
        <v>20</v>
      </c>
      <c r="M192">
        <f t="shared" si="5"/>
        <v>59</v>
      </c>
    </row>
    <row r="193" spans="1:13" hidden="1" x14ac:dyDescent="0.3">
      <c r="A193">
        <v>1</v>
      </c>
      <c r="B193" s="3">
        <v>43616.541666666664</v>
      </c>
      <c r="C193" t="s">
        <v>94</v>
      </c>
      <c r="D193">
        <v>6</v>
      </c>
      <c r="E193">
        <v>5</v>
      </c>
      <c r="F193">
        <v>-1.79</v>
      </c>
      <c r="H193">
        <v>222.00349989999998</v>
      </c>
      <c r="I193" t="s">
        <v>68</v>
      </c>
      <c r="J193">
        <v>-0.37999999999999989</v>
      </c>
      <c r="K193">
        <v>18</v>
      </c>
      <c r="L193">
        <f t="shared" si="4"/>
        <v>222</v>
      </c>
      <c r="M193">
        <f t="shared" si="5"/>
        <v>666</v>
      </c>
    </row>
    <row r="194" spans="1:13" x14ac:dyDescent="0.3">
      <c r="A194">
        <v>4</v>
      </c>
      <c r="B194" s="3">
        <v>43616.541666666664</v>
      </c>
      <c r="C194" t="s">
        <v>94</v>
      </c>
      <c r="D194">
        <v>5</v>
      </c>
      <c r="E194">
        <v>4</v>
      </c>
      <c r="F194">
        <v>0.28000000000000025</v>
      </c>
      <c r="H194">
        <v>0.33333333333333331</v>
      </c>
      <c r="I194" t="s">
        <v>50</v>
      </c>
      <c r="J194">
        <v>1.0000000000000009E-2</v>
      </c>
      <c r="K194">
        <v>0</v>
      </c>
      <c r="L194">
        <f t="shared" ref="L194:L257" si="6">ROUND(H194,0)</f>
        <v>0</v>
      </c>
      <c r="M194">
        <f t="shared" ref="M194:M257" si="7">ROUND(H194*3,0)</f>
        <v>1</v>
      </c>
    </row>
    <row r="195" spans="1:13" x14ac:dyDescent="0.3">
      <c r="A195">
        <v>3</v>
      </c>
      <c r="B195" s="3">
        <v>43616.541666666664</v>
      </c>
      <c r="C195" t="s">
        <v>94</v>
      </c>
      <c r="D195">
        <v>5</v>
      </c>
      <c r="E195">
        <v>4</v>
      </c>
      <c r="F195">
        <v>0.28000000000000025</v>
      </c>
      <c r="H195">
        <v>6.5616797999999994</v>
      </c>
      <c r="I195" t="s">
        <v>50</v>
      </c>
      <c r="J195">
        <v>-0.15799999999999992</v>
      </c>
      <c r="K195" t="s">
        <v>115</v>
      </c>
      <c r="L195">
        <f t="shared" si="6"/>
        <v>7</v>
      </c>
      <c r="M195">
        <f t="shared" si="7"/>
        <v>20</v>
      </c>
    </row>
    <row r="196" spans="1:13" hidden="1" x14ac:dyDescent="0.3">
      <c r="A196">
        <v>2</v>
      </c>
      <c r="B196" s="3">
        <v>43616.541666666664</v>
      </c>
      <c r="C196" t="s">
        <v>94</v>
      </c>
      <c r="D196">
        <v>5</v>
      </c>
      <c r="E196">
        <v>4</v>
      </c>
      <c r="F196">
        <v>0.28000000000000025</v>
      </c>
      <c r="H196">
        <v>156.38670189999999</v>
      </c>
      <c r="I196" t="s">
        <v>48</v>
      </c>
      <c r="J196">
        <v>0.12799999999999989</v>
      </c>
      <c r="K196">
        <v>6</v>
      </c>
      <c r="L196">
        <f t="shared" si="6"/>
        <v>156</v>
      </c>
      <c r="M196">
        <f t="shared" si="7"/>
        <v>469</v>
      </c>
    </row>
    <row r="197" spans="1:13" hidden="1" x14ac:dyDescent="0.3">
      <c r="A197">
        <v>1</v>
      </c>
      <c r="B197" s="3">
        <v>43616.541666666664</v>
      </c>
      <c r="C197" t="s">
        <v>94</v>
      </c>
      <c r="D197">
        <v>5</v>
      </c>
      <c r="E197">
        <v>4</v>
      </c>
      <c r="F197">
        <v>0.28000000000000025</v>
      </c>
      <c r="H197">
        <v>446.19422639999993</v>
      </c>
      <c r="I197" t="s">
        <v>68</v>
      </c>
      <c r="J197">
        <v>0.30000000000000027</v>
      </c>
      <c r="K197">
        <v>0</v>
      </c>
      <c r="L197">
        <f t="shared" si="6"/>
        <v>446</v>
      </c>
      <c r="M197">
        <f t="shared" si="7"/>
        <v>1339</v>
      </c>
    </row>
    <row r="198" spans="1:13" x14ac:dyDescent="0.3">
      <c r="A198">
        <v>5</v>
      </c>
      <c r="B198" s="3">
        <v>43616.541666666664</v>
      </c>
      <c r="C198" t="s">
        <v>94</v>
      </c>
      <c r="D198">
        <v>4</v>
      </c>
      <c r="E198">
        <v>5</v>
      </c>
      <c r="F198">
        <v>-0.17999999999999972</v>
      </c>
      <c r="H198">
        <v>0.33333333333333331</v>
      </c>
      <c r="I198" t="s">
        <v>50</v>
      </c>
      <c r="J198">
        <v>1.0000000000000009E-2</v>
      </c>
      <c r="K198">
        <v>0</v>
      </c>
      <c r="L198">
        <f t="shared" si="6"/>
        <v>0</v>
      </c>
      <c r="M198">
        <f t="shared" si="7"/>
        <v>1</v>
      </c>
    </row>
    <row r="199" spans="1:13" x14ac:dyDescent="0.3">
      <c r="A199">
        <v>4</v>
      </c>
      <c r="B199" s="3">
        <v>43616.541666666664</v>
      </c>
      <c r="C199" t="s">
        <v>94</v>
      </c>
      <c r="D199">
        <v>4</v>
      </c>
      <c r="E199">
        <v>5</v>
      </c>
      <c r="F199">
        <v>-0.17999999999999972</v>
      </c>
      <c r="H199">
        <v>5.4680664999999991</v>
      </c>
      <c r="I199" t="s">
        <v>50</v>
      </c>
      <c r="J199">
        <v>-0.21199999999999997</v>
      </c>
      <c r="K199" t="s">
        <v>111</v>
      </c>
      <c r="L199">
        <f t="shared" si="6"/>
        <v>5</v>
      </c>
      <c r="M199">
        <f t="shared" si="7"/>
        <v>16</v>
      </c>
    </row>
    <row r="200" spans="1:13" hidden="1" x14ac:dyDescent="0.3">
      <c r="A200">
        <v>3</v>
      </c>
      <c r="B200" s="3">
        <v>43616.541666666664</v>
      </c>
      <c r="C200" t="s">
        <v>94</v>
      </c>
      <c r="D200">
        <v>4</v>
      </c>
      <c r="E200">
        <v>5</v>
      </c>
      <c r="F200">
        <v>-0.17999999999999972</v>
      </c>
      <c r="H200">
        <v>26.246719199999998</v>
      </c>
      <c r="I200" t="s">
        <v>47</v>
      </c>
      <c r="J200">
        <v>-0.20800000000000018</v>
      </c>
      <c r="K200">
        <v>0</v>
      </c>
      <c r="L200">
        <f t="shared" si="6"/>
        <v>26</v>
      </c>
      <c r="M200">
        <f t="shared" si="7"/>
        <v>79</v>
      </c>
    </row>
    <row r="201" spans="1:13" hidden="1" x14ac:dyDescent="0.3">
      <c r="A201">
        <v>2</v>
      </c>
      <c r="B201" s="3">
        <v>43616.541666666664</v>
      </c>
      <c r="C201" t="s">
        <v>94</v>
      </c>
      <c r="D201">
        <v>4</v>
      </c>
      <c r="E201">
        <v>5</v>
      </c>
      <c r="F201">
        <v>-0.17999999999999972</v>
      </c>
      <c r="H201">
        <v>290.90113779999996</v>
      </c>
      <c r="I201" t="s">
        <v>47</v>
      </c>
      <c r="J201">
        <v>0.31000000000000005</v>
      </c>
      <c r="K201">
        <v>24</v>
      </c>
      <c r="L201">
        <f t="shared" si="6"/>
        <v>291</v>
      </c>
      <c r="M201">
        <f t="shared" si="7"/>
        <v>873</v>
      </c>
    </row>
    <row r="202" spans="1:13" hidden="1" x14ac:dyDescent="0.3">
      <c r="A202">
        <v>1</v>
      </c>
      <c r="B202" s="3">
        <v>43616.541666666664</v>
      </c>
      <c r="C202" t="s">
        <v>94</v>
      </c>
      <c r="D202">
        <v>4</v>
      </c>
      <c r="E202">
        <v>5</v>
      </c>
      <c r="F202">
        <v>-0.17999999999999972</v>
      </c>
      <c r="H202">
        <v>551.18110319999994</v>
      </c>
      <c r="I202" t="s">
        <v>68</v>
      </c>
      <c r="J202">
        <v>-7.9999999999999627E-2</v>
      </c>
      <c r="K202">
        <v>0</v>
      </c>
      <c r="L202">
        <f t="shared" si="6"/>
        <v>551</v>
      </c>
      <c r="M202">
        <f t="shared" si="7"/>
        <v>1654</v>
      </c>
    </row>
    <row r="203" spans="1:13" x14ac:dyDescent="0.3">
      <c r="A203">
        <v>5</v>
      </c>
      <c r="B203" s="3">
        <v>43616.541666666664</v>
      </c>
      <c r="C203" t="s">
        <v>94</v>
      </c>
      <c r="D203">
        <v>3</v>
      </c>
      <c r="E203">
        <v>5</v>
      </c>
      <c r="F203">
        <v>-0.91999999999999993</v>
      </c>
      <c r="H203">
        <v>2.6666666666666665</v>
      </c>
      <c r="I203" t="s">
        <v>50</v>
      </c>
      <c r="J203">
        <v>0.41999999999999993</v>
      </c>
      <c r="K203">
        <v>0</v>
      </c>
      <c r="L203">
        <f t="shared" si="6"/>
        <v>3</v>
      </c>
      <c r="M203">
        <f t="shared" si="7"/>
        <v>8</v>
      </c>
    </row>
    <row r="204" spans="1:13" x14ac:dyDescent="0.3">
      <c r="A204">
        <v>4</v>
      </c>
      <c r="B204" s="3">
        <v>43616.541666666664</v>
      </c>
      <c r="C204" t="s">
        <v>94</v>
      </c>
      <c r="D204">
        <v>3</v>
      </c>
      <c r="E204">
        <v>5</v>
      </c>
      <c r="F204">
        <v>-0.91999999999999993</v>
      </c>
      <c r="H204">
        <v>5.4680664999999991</v>
      </c>
      <c r="I204" t="s">
        <v>50</v>
      </c>
      <c r="J204">
        <v>-0.62199999999999989</v>
      </c>
      <c r="K204" t="s">
        <v>113</v>
      </c>
      <c r="L204">
        <f t="shared" si="6"/>
        <v>5</v>
      </c>
      <c r="M204">
        <f t="shared" si="7"/>
        <v>16</v>
      </c>
    </row>
    <row r="205" spans="1:13" hidden="1" x14ac:dyDescent="0.3">
      <c r="A205">
        <v>3</v>
      </c>
      <c r="B205" s="3">
        <v>43616.541666666664</v>
      </c>
      <c r="C205" t="s">
        <v>94</v>
      </c>
      <c r="D205">
        <v>3</v>
      </c>
      <c r="E205">
        <v>5</v>
      </c>
      <c r="F205">
        <v>-0.91999999999999993</v>
      </c>
      <c r="H205">
        <v>29.527559099999998</v>
      </c>
      <c r="I205" t="s">
        <v>47</v>
      </c>
      <c r="J205">
        <v>-0.20800000000000018</v>
      </c>
      <c r="K205">
        <v>0</v>
      </c>
      <c r="L205">
        <f t="shared" si="6"/>
        <v>30</v>
      </c>
      <c r="M205">
        <f t="shared" si="7"/>
        <v>89</v>
      </c>
    </row>
    <row r="206" spans="1:13" hidden="1" x14ac:dyDescent="0.3">
      <c r="A206">
        <v>2</v>
      </c>
      <c r="B206" s="3">
        <v>43616.541666666664</v>
      </c>
      <c r="C206" t="s">
        <v>94</v>
      </c>
      <c r="D206">
        <v>3</v>
      </c>
      <c r="E206">
        <v>5</v>
      </c>
      <c r="F206">
        <v>-0.91999999999999993</v>
      </c>
      <c r="H206">
        <v>139.98250239999999</v>
      </c>
      <c r="I206" t="s">
        <v>47</v>
      </c>
      <c r="J206">
        <v>-0.43999999999999995</v>
      </c>
      <c r="K206">
        <v>27</v>
      </c>
      <c r="L206">
        <f t="shared" si="6"/>
        <v>140</v>
      </c>
      <c r="M206">
        <f t="shared" si="7"/>
        <v>420</v>
      </c>
    </row>
    <row r="207" spans="1:13" hidden="1" x14ac:dyDescent="0.3">
      <c r="A207">
        <v>1</v>
      </c>
      <c r="B207" s="3">
        <v>43616.541666666664</v>
      </c>
      <c r="C207" t="s">
        <v>94</v>
      </c>
      <c r="D207">
        <v>3</v>
      </c>
      <c r="E207">
        <v>5</v>
      </c>
      <c r="F207">
        <v>-0.91999999999999993</v>
      </c>
      <c r="H207">
        <v>410.10498749999994</v>
      </c>
      <c r="I207" t="s">
        <v>68</v>
      </c>
      <c r="J207">
        <v>-6.999999999999984E-2</v>
      </c>
      <c r="K207">
        <v>0</v>
      </c>
      <c r="L207">
        <f t="shared" si="6"/>
        <v>410</v>
      </c>
      <c r="M207">
        <f t="shared" si="7"/>
        <v>1230</v>
      </c>
    </row>
    <row r="208" spans="1:13" x14ac:dyDescent="0.3">
      <c r="A208">
        <v>4</v>
      </c>
      <c r="B208" s="3">
        <v>43616.541666666664</v>
      </c>
      <c r="C208" t="s">
        <v>94</v>
      </c>
      <c r="D208">
        <v>2</v>
      </c>
      <c r="E208">
        <v>4</v>
      </c>
      <c r="F208">
        <v>0.16999999999999993</v>
      </c>
      <c r="H208">
        <v>0.66666666666666663</v>
      </c>
      <c r="I208" t="s">
        <v>50</v>
      </c>
      <c r="J208">
        <v>1.0000000000000009E-2</v>
      </c>
      <c r="K208">
        <v>0</v>
      </c>
      <c r="L208">
        <f t="shared" si="6"/>
        <v>1</v>
      </c>
      <c r="M208">
        <f t="shared" si="7"/>
        <v>2</v>
      </c>
    </row>
    <row r="209" spans="1:13" x14ac:dyDescent="0.3">
      <c r="A209">
        <v>3</v>
      </c>
      <c r="B209" s="3">
        <v>43616.541666666664</v>
      </c>
      <c r="C209" t="s">
        <v>94</v>
      </c>
      <c r="D209">
        <v>2</v>
      </c>
      <c r="E209">
        <v>4</v>
      </c>
      <c r="F209">
        <v>0.16999999999999993</v>
      </c>
      <c r="H209">
        <v>4.3744531999999996</v>
      </c>
      <c r="I209" t="s">
        <v>50</v>
      </c>
      <c r="J209">
        <v>-0.29800000000000004</v>
      </c>
      <c r="K209" t="s">
        <v>113</v>
      </c>
      <c r="L209">
        <f t="shared" si="6"/>
        <v>4</v>
      </c>
      <c r="M209">
        <f t="shared" si="7"/>
        <v>13</v>
      </c>
    </row>
    <row r="210" spans="1:13" hidden="1" x14ac:dyDescent="0.3">
      <c r="A210">
        <v>2</v>
      </c>
      <c r="B210" s="3">
        <v>43616.541666666664</v>
      </c>
      <c r="C210" t="s">
        <v>94</v>
      </c>
      <c r="D210">
        <v>2</v>
      </c>
      <c r="E210">
        <v>4</v>
      </c>
      <c r="F210">
        <v>0.16999999999999993</v>
      </c>
      <c r="H210">
        <v>96.237970399999995</v>
      </c>
      <c r="I210" t="s">
        <v>48</v>
      </c>
      <c r="J210">
        <v>8.7999999999999856E-2</v>
      </c>
      <c r="K210">
        <v>4</v>
      </c>
      <c r="L210">
        <f t="shared" si="6"/>
        <v>96</v>
      </c>
      <c r="M210">
        <f t="shared" si="7"/>
        <v>289</v>
      </c>
    </row>
    <row r="211" spans="1:13" hidden="1" x14ac:dyDescent="0.3">
      <c r="A211">
        <v>1</v>
      </c>
      <c r="B211" s="3">
        <v>43616.541666666664</v>
      </c>
      <c r="C211" t="s">
        <v>94</v>
      </c>
      <c r="D211">
        <v>2</v>
      </c>
      <c r="E211">
        <v>4</v>
      </c>
      <c r="F211">
        <v>0.16999999999999993</v>
      </c>
      <c r="H211">
        <v>424.32196039999997</v>
      </c>
      <c r="I211" t="s">
        <v>68</v>
      </c>
      <c r="J211">
        <v>0.37000000000000011</v>
      </c>
      <c r="K211">
        <v>0</v>
      </c>
      <c r="L211">
        <f t="shared" si="6"/>
        <v>424</v>
      </c>
      <c r="M211">
        <f t="shared" si="7"/>
        <v>1273</v>
      </c>
    </row>
    <row r="212" spans="1:13" x14ac:dyDescent="0.3">
      <c r="A212">
        <v>5</v>
      </c>
      <c r="B212" s="3">
        <v>43616.541666666664</v>
      </c>
      <c r="C212" t="s">
        <v>94</v>
      </c>
      <c r="D212">
        <v>1</v>
      </c>
      <c r="E212">
        <v>5</v>
      </c>
      <c r="F212">
        <v>-0.9115000000000002</v>
      </c>
      <c r="H212">
        <v>0.33333333333333331</v>
      </c>
      <c r="I212" t="s">
        <v>50</v>
      </c>
      <c r="J212">
        <v>1.0000000000000009E-2</v>
      </c>
      <c r="K212">
        <v>0</v>
      </c>
      <c r="L212">
        <f t="shared" si="6"/>
        <v>0</v>
      </c>
      <c r="M212">
        <f t="shared" si="7"/>
        <v>1</v>
      </c>
    </row>
    <row r="213" spans="1:13" x14ac:dyDescent="0.3">
      <c r="A213">
        <v>4</v>
      </c>
      <c r="B213" s="3">
        <v>43616.541666666664</v>
      </c>
      <c r="C213" t="s">
        <v>94</v>
      </c>
      <c r="D213">
        <v>1</v>
      </c>
      <c r="E213">
        <v>5</v>
      </c>
      <c r="F213">
        <v>-0.9115000000000002</v>
      </c>
      <c r="H213">
        <v>1</v>
      </c>
      <c r="I213" t="s">
        <v>50</v>
      </c>
      <c r="J213">
        <v>-0.97</v>
      </c>
      <c r="K213" t="s">
        <v>114</v>
      </c>
      <c r="L213">
        <f t="shared" si="6"/>
        <v>1</v>
      </c>
      <c r="M213">
        <f t="shared" si="7"/>
        <v>3</v>
      </c>
    </row>
    <row r="214" spans="1:13" x14ac:dyDescent="0.3">
      <c r="A214">
        <v>3</v>
      </c>
      <c r="B214" s="3">
        <v>43616.541666666664</v>
      </c>
      <c r="C214" t="s">
        <v>94</v>
      </c>
      <c r="D214">
        <v>1</v>
      </c>
      <c r="E214">
        <v>5</v>
      </c>
      <c r="F214">
        <v>-0.9115000000000002</v>
      </c>
      <c r="H214">
        <v>15.310586199999999</v>
      </c>
      <c r="I214" t="s">
        <v>50</v>
      </c>
      <c r="J214">
        <v>6.800000000000006E-2</v>
      </c>
      <c r="K214" t="s">
        <v>114</v>
      </c>
      <c r="L214">
        <f t="shared" si="6"/>
        <v>15</v>
      </c>
      <c r="M214">
        <f t="shared" si="7"/>
        <v>46</v>
      </c>
    </row>
    <row r="215" spans="1:13" hidden="1" x14ac:dyDescent="0.3">
      <c r="A215">
        <v>2</v>
      </c>
      <c r="B215" s="3">
        <v>43616.541666666664</v>
      </c>
      <c r="C215" t="s">
        <v>94</v>
      </c>
      <c r="D215">
        <v>1</v>
      </c>
      <c r="E215">
        <v>5</v>
      </c>
      <c r="F215">
        <v>-0.9115000000000002</v>
      </c>
      <c r="H215">
        <v>125.76552949999999</v>
      </c>
      <c r="I215" t="s">
        <v>47</v>
      </c>
      <c r="J215">
        <v>-2.8000000000000025E-2</v>
      </c>
      <c r="K215">
        <v>14</v>
      </c>
      <c r="L215">
        <f t="shared" si="6"/>
        <v>126</v>
      </c>
      <c r="M215">
        <f t="shared" si="7"/>
        <v>377</v>
      </c>
    </row>
    <row r="216" spans="1:13" hidden="1" x14ac:dyDescent="0.3">
      <c r="A216">
        <v>1</v>
      </c>
      <c r="B216" s="3">
        <v>43616.541666666664</v>
      </c>
      <c r="C216" t="s">
        <v>94</v>
      </c>
      <c r="D216">
        <v>1</v>
      </c>
      <c r="E216">
        <v>5</v>
      </c>
      <c r="F216">
        <v>-0.9115000000000002</v>
      </c>
      <c r="H216">
        <v>400.26246779999997</v>
      </c>
      <c r="I216" t="s">
        <v>68</v>
      </c>
      <c r="J216">
        <v>8.49999999999973E-3</v>
      </c>
      <c r="K216">
        <v>0</v>
      </c>
      <c r="L216">
        <f t="shared" si="6"/>
        <v>400</v>
      </c>
      <c r="M216">
        <f t="shared" si="7"/>
        <v>1201</v>
      </c>
    </row>
    <row r="217" spans="1:13" x14ac:dyDescent="0.3">
      <c r="A217">
        <v>4</v>
      </c>
      <c r="B217" s="3">
        <v>43615.666666666664</v>
      </c>
      <c r="C217" t="s">
        <v>64</v>
      </c>
      <c r="D217">
        <v>18</v>
      </c>
      <c r="E217">
        <v>4</v>
      </c>
      <c r="F217">
        <v>8.0000000000000071E-2</v>
      </c>
      <c r="H217">
        <v>1.3333333333333333</v>
      </c>
      <c r="I217" t="s">
        <v>50</v>
      </c>
      <c r="J217">
        <v>0.12999999999999989</v>
      </c>
      <c r="K217">
        <v>0</v>
      </c>
      <c r="L217">
        <f t="shared" si="6"/>
        <v>1</v>
      </c>
      <c r="M217">
        <f t="shared" si="7"/>
        <v>4</v>
      </c>
    </row>
    <row r="218" spans="1:13" hidden="1" x14ac:dyDescent="0.3">
      <c r="A218">
        <v>3</v>
      </c>
      <c r="B218" s="3">
        <v>43615.666666666664</v>
      </c>
      <c r="C218" t="s">
        <v>64</v>
      </c>
      <c r="D218">
        <v>18</v>
      </c>
      <c r="E218">
        <v>4</v>
      </c>
      <c r="F218">
        <v>8.0000000000000071E-2</v>
      </c>
      <c r="H218">
        <v>15.310586199999999</v>
      </c>
      <c r="I218" t="s">
        <v>47</v>
      </c>
      <c r="J218">
        <v>0.3400000000000003</v>
      </c>
      <c r="K218">
        <v>0</v>
      </c>
      <c r="L218">
        <f t="shared" si="6"/>
        <v>15</v>
      </c>
      <c r="M218">
        <f t="shared" si="7"/>
        <v>46</v>
      </c>
    </row>
    <row r="219" spans="1:13" hidden="1" x14ac:dyDescent="0.3">
      <c r="A219">
        <v>2</v>
      </c>
      <c r="B219" s="3">
        <v>43615.666666666664</v>
      </c>
      <c r="C219" t="s">
        <v>64</v>
      </c>
      <c r="D219">
        <v>18</v>
      </c>
      <c r="E219">
        <v>4</v>
      </c>
      <c r="F219">
        <v>8.0000000000000071E-2</v>
      </c>
      <c r="H219">
        <v>134.5144359</v>
      </c>
      <c r="I219" t="s">
        <v>48</v>
      </c>
      <c r="J219">
        <v>-0.56000000000000005</v>
      </c>
      <c r="K219">
        <v>14</v>
      </c>
      <c r="L219">
        <f t="shared" si="6"/>
        <v>135</v>
      </c>
      <c r="M219">
        <f t="shared" si="7"/>
        <v>404</v>
      </c>
    </row>
    <row r="220" spans="1:13" hidden="1" x14ac:dyDescent="0.3">
      <c r="A220">
        <v>1</v>
      </c>
      <c r="B220" s="3">
        <v>43615.666666666664</v>
      </c>
      <c r="C220" t="s">
        <v>64</v>
      </c>
      <c r="D220">
        <v>18</v>
      </c>
      <c r="E220">
        <v>4</v>
      </c>
      <c r="F220">
        <v>8.0000000000000071E-2</v>
      </c>
      <c r="H220">
        <v>407.91776089999996</v>
      </c>
      <c r="I220" t="s">
        <v>68</v>
      </c>
      <c r="J220">
        <v>0.16999999999999993</v>
      </c>
      <c r="K220">
        <v>0</v>
      </c>
      <c r="L220">
        <f t="shared" si="6"/>
        <v>408</v>
      </c>
      <c r="M220">
        <f t="shared" si="7"/>
        <v>1224</v>
      </c>
    </row>
    <row r="221" spans="1:13" x14ac:dyDescent="0.3">
      <c r="A221">
        <v>5</v>
      </c>
      <c r="B221" s="3">
        <v>43615.666666666664</v>
      </c>
      <c r="C221" t="s">
        <v>64</v>
      </c>
      <c r="D221">
        <v>17</v>
      </c>
      <c r="E221">
        <v>5</v>
      </c>
      <c r="F221">
        <v>-0.17999999999999972</v>
      </c>
      <c r="H221">
        <v>0.33333333333333331</v>
      </c>
      <c r="I221" t="s">
        <v>50</v>
      </c>
      <c r="J221">
        <v>1.0000000000000009E-2</v>
      </c>
      <c r="K221">
        <v>0</v>
      </c>
      <c r="L221">
        <f t="shared" si="6"/>
        <v>0</v>
      </c>
      <c r="M221">
        <f t="shared" si="7"/>
        <v>1</v>
      </c>
    </row>
    <row r="222" spans="1:13" x14ac:dyDescent="0.3">
      <c r="A222">
        <v>4</v>
      </c>
      <c r="B222" s="3">
        <v>43615.666666666664</v>
      </c>
      <c r="C222" t="s">
        <v>64</v>
      </c>
      <c r="D222">
        <v>17</v>
      </c>
      <c r="E222">
        <v>5</v>
      </c>
      <c r="F222">
        <v>-0.17999999999999972</v>
      </c>
      <c r="H222">
        <v>8.7489063999999992</v>
      </c>
      <c r="I222" t="s">
        <v>50</v>
      </c>
      <c r="J222">
        <v>-7.0000000000000062E-2</v>
      </c>
      <c r="K222" t="s">
        <v>115</v>
      </c>
      <c r="L222">
        <f t="shared" si="6"/>
        <v>9</v>
      </c>
      <c r="M222">
        <f t="shared" si="7"/>
        <v>26</v>
      </c>
    </row>
    <row r="223" spans="1:13" hidden="1" x14ac:dyDescent="0.3">
      <c r="A223">
        <v>3</v>
      </c>
      <c r="B223" s="3">
        <v>43615.666666666664</v>
      </c>
      <c r="C223" t="s">
        <v>64</v>
      </c>
      <c r="D223">
        <v>17</v>
      </c>
      <c r="E223">
        <v>5</v>
      </c>
      <c r="F223">
        <v>-0.17999999999999972</v>
      </c>
      <c r="H223">
        <v>91.86351719999999</v>
      </c>
      <c r="I223" t="s">
        <v>48</v>
      </c>
      <c r="J223">
        <v>-0.18999999999999995</v>
      </c>
      <c r="K223">
        <v>8</v>
      </c>
      <c r="L223">
        <f t="shared" si="6"/>
        <v>92</v>
      </c>
      <c r="M223">
        <f t="shared" si="7"/>
        <v>276</v>
      </c>
    </row>
    <row r="224" spans="1:13" hidden="1" x14ac:dyDescent="0.3">
      <c r="A224">
        <v>2</v>
      </c>
      <c r="B224" s="3">
        <v>43615.666666666664</v>
      </c>
      <c r="C224" t="s">
        <v>64</v>
      </c>
      <c r="D224">
        <v>17</v>
      </c>
      <c r="E224">
        <v>5</v>
      </c>
      <c r="F224">
        <v>-0.17999999999999972</v>
      </c>
      <c r="H224">
        <v>240.59492599999999</v>
      </c>
      <c r="I224" t="s">
        <v>48</v>
      </c>
      <c r="J224">
        <v>-0.16999999999999993</v>
      </c>
      <c r="K224">
        <v>0</v>
      </c>
      <c r="L224">
        <f t="shared" si="6"/>
        <v>241</v>
      </c>
      <c r="M224">
        <f t="shared" si="7"/>
        <v>722</v>
      </c>
    </row>
    <row r="225" spans="1:13" hidden="1" x14ac:dyDescent="0.3">
      <c r="A225">
        <v>1</v>
      </c>
      <c r="B225" s="3">
        <v>43615.666666666664</v>
      </c>
      <c r="C225" t="s">
        <v>64</v>
      </c>
      <c r="D225">
        <v>17</v>
      </c>
      <c r="E225">
        <v>5</v>
      </c>
      <c r="F225">
        <v>-0.17999999999999972</v>
      </c>
      <c r="H225">
        <v>550.08748989999992</v>
      </c>
      <c r="I225" t="s">
        <v>68</v>
      </c>
      <c r="J225">
        <v>0.24000000000000021</v>
      </c>
      <c r="K225">
        <v>0</v>
      </c>
      <c r="L225">
        <f t="shared" si="6"/>
        <v>550</v>
      </c>
      <c r="M225">
        <f t="shared" si="7"/>
        <v>1650</v>
      </c>
    </row>
    <row r="226" spans="1:13" x14ac:dyDescent="0.3">
      <c r="A226">
        <v>3</v>
      </c>
      <c r="B226" s="3">
        <v>43615.666666666664</v>
      </c>
      <c r="C226" t="s">
        <v>64</v>
      </c>
      <c r="D226">
        <v>16</v>
      </c>
      <c r="E226">
        <v>3</v>
      </c>
      <c r="F226">
        <v>0.12000000000000011</v>
      </c>
      <c r="H226">
        <v>0.33333333333333331</v>
      </c>
      <c r="I226" t="s">
        <v>50</v>
      </c>
      <c r="J226">
        <v>1.0000000000000009E-2</v>
      </c>
      <c r="K226">
        <v>0</v>
      </c>
      <c r="L226">
        <f t="shared" si="6"/>
        <v>0</v>
      </c>
      <c r="M226">
        <f t="shared" si="7"/>
        <v>1</v>
      </c>
    </row>
    <row r="227" spans="1:13" x14ac:dyDescent="0.3">
      <c r="A227">
        <v>2</v>
      </c>
      <c r="B227" s="3">
        <v>43615.666666666664</v>
      </c>
      <c r="C227" t="s">
        <v>64</v>
      </c>
      <c r="D227">
        <v>16</v>
      </c>
      <c r="E227">
        <v>3</v>
      </c>
      <c r="F227">
        <v>0.12000000000000011</v>
      </c>
      <c r="H227">
        <v>5.4680664999999991</v>
      </c>
      <c r="I227" t="s">
        <v>50</v>
      </c>
      <c r="J227">
        <v>-0.21199999999999997</v>
      </c>
      <c r="K227" t="s">
        <v>115</v>
      </c>
      <c r="L227">
        <f t="shared" si="6"/>
        <v>5</v>
      </c>
      <c r="M227">
        <f t="shared" si="7"/>
        <v>16</v>
      </c>
    </row>
    <row r="228" spans="1:13" hidden="1" x14ac:dyDescent="0.3">
      <c r="A228">
        <v>1</v>
      </c>
      <c r="B228" s="3">
        <v>43615.666666666664</v>
      </c>
      <c r="C228" t="s">
        <v>64</v>
      </c>
      <c r="D228">
        <v>16</v>
      </c>
      <c r="E228">
        <v>3</v>
      </c>
      <c r="F228">
        <v>0.12000000000000011</v>
      </c>
      <c r="H228">
        <v>185.91426099999998</v>
      </c>
      <c r="I228" t="s">
        <v>68</v>
      </c>
      <c r="J228">
        <v>0.32200000000000006</v>
      </c>
      <c r="K228">
        <v>5</v>
      </c>
      <c r="L228">
        <f t="shared" si="6"/>
        <v>186</v>
      </c>
      <c r="M228">
        <f t="shared" si="7"/>
        <v>558</v>
      </c>
    </row>
    <row r="229" spans="1:13" x14ac:dyDescent="0.3">
      <c r="A229">
        <v>4</v>
      </c>
      <c r="B229" s="3">
        <v>43615.666666666664</v>
      </c>
      <c r="C229" t="s">
        <v>64</v>
      </c>
      <c r="D229">
        <v>15</v>
      </c>
      <c r="E229">
        <v>4</v>
      </c>
      <c r="F229">
        <v>0.69500000000000028</v>
      </c>
      <c r="H229">
        <v>0.66666666666666663</v>
      </c>
      <c r="I229" t="s">
        <v>50</v>
      </c>
      <c r="J229">
        <v>1.0000000000000009E-2</v>
      </c>
      <c r="K229">
        <v>0</v>
      </c>
      <c r="L229">
        <f t="shared" si="6"/>
        <v>1</v>
      </c>
      <c r="M229">
        <f t="shared" si="7"/>
        <v>2</v>
      </c>
    </row>
    <row r="230" spans="1:13" x14ac:dyDescent="0.3">
      <c r="A230">
        <v>3</v>
      </c>
      <c r="B230" s="3">
        <v>43615.666666666664</v>
      </c>
      <c r="C230" t="s">
        <v>64</v>
      </c>
      <c r="D230">
        <v>15</v>
      </c>
      <c r="E230">
        <v>4</v>
      </c>
      <c r="F230">
        <v>0.69500000000000028</v>
      </c>
      <c r="H230">
        <v>10.936132999999998</v>
      </c>
      <c r="I230" t="s">
        <v>50</v>
      </c>
      <c r="J230">
        <v>-1.4000000000000012E-2</v>
      </c>
      <c r="K230" t="s">
        <v>115</v>
      </c>
      <c r="L230">
        <f t="shared" si="6"/>
        <v>11</v>
      </c>
      <c r="M230">
        <f t="shared" si="7"/>
        <v>33</v>
      </c>
    </row>
    <row r="231" spans="1:13" hidden="1" x14ac:dyDescent="0.3">
      <c r="A231">
        <v>2</v>
      </c>
      <c r="B231" s="3">
        <v>43615.666666666664</v>
      </c>
      <c r="C231" t="s">
        <v>64</v>
      </c>
      <c r="D231">
        <v>15</v>
      </c>
      <c r="E231">
        <v>4</v>
      </c>
      <c r="F231">
        <v>0.69500000000000028</v>
      </c>
      <c r="H231">
        <v>235.12685949999997</v>
      </c>
      <c r="I231" t="s">
        <v>48</v>
      </c>
      <c r="J231">
        <v>0.45400000000000018</v>
      </c>
      <c r="K231">
        <v>10</v>
      </c>
      <c r="L231">
        <f t="shared" si="6"/>
        <v>235</v>
      </c>
      <c r="M231">
        <f t="shared" si="7"/>
        <v>705</v>
      </c>
    </row>
    <row r="232" spans="1:13" hidden="1" x14ac:dyDescent="0.3">
      <c r="A232">
        <v>1</v>
      </c>
      <c r="B232" s="3">
        <v>43615.666666666664</v>
      </c>
      <c r="C232" t="s">
        <v>64</v>
      </c>
      <c r="D232">
        <v>15</v>
      </c>
      <c r="E232">
        <v>4</v>
      </c>
      <c r="F232">
        <v>0.69500000000000028</v>
      </c>
      <c r="H232">
        <v>507.43657119999995</v>
      </c>
      <c r="I232" t="s">
        <v>68</v>
      </c>
      <c r="J232">
        <v>0.24500000000000011</v>
      </c>
      <c r="K232">
        <v>0</v>
      </c>
      <c r="L232">
        <f t="shared" si="6"/>
        <v>507</v>
      </c>
      <c r="M232">
        <f t="shared" si="7"/>
        <v>1522</v>
      </c>
    </row>
    <row r="233" spans="1:13" x14ac:dyDescent="0.3">
      <c r="A233">
        <v>5</v>
      </c>
      <c r="B233" s="3">
        <v>43615.666666666664</v>
      </c>
      <c r="C233" t="s">
        <v>64</v>
      </c>
      <c r="D233">
        <v>14</v>
      </c>
      <c r="E233">
        <v>5</v>
      </c>
      <c r="F233">
        <v>-0.98000000000000043</v>
      </c>
      <c r="H233">
        <v>0.33333333333333331</v>
      </c>
      <c r="I233" t="s">
        <v>50</v>
      </c>
      <c r="J233">
        <v>1.0000000000000009E-2</v>
      </c>
      <c r="K233">
        <v>0</v>
      </c>
      <c r="L233">
        <f t="shared" si="6"/>
        <v>0</v>
      </c>
      <c r="M233">
        <f t="shared" si="7"/>
        <v>1</v>
      </c>
    </row>
    <row r="234" spans="1:13" x14ac:dyDescent="0.3">
      <c r="A234">
        <v>4</v>
      </c>
      <c r="B234" s="3">
        <v>43615.666666666664</v>
      </c>
      <c r="C234" t="s">
        <v>64</v>
      </c>
      <c r="D234">
        <v>14</v>
      </c>
      <c r="E234">
        <v>5</v>
      </c>
      <c r="F234">
        <v>-0.98000000000000043</v>
      </c>
      <c r="H234">
        <v>2.3333333333333335</v>
      </c>
      <c r="I234" t="s">
        <v>50</v>
      </c>
      <c r="J234">
        <v>-0.59000000000000008</v>
      </c>
      <c r="K234" t="s">
        <v>115</v>
      </c>
      <c r="L234">
        <f t="shared" si="6"/>
        <v>2</v>
      </c>
      <c r="M234">
        <f t="shared" si="7"/>
        <v>7</v>
      </c>
    </row>
    <row r="235" spans="1:13" hidden="1" x14ac:dyDescent="0.3">
      <c r="A235">
        <v>3</v>
      </c>
      <c r="B235" s="3">
        <v>43615.666666666664</v>
      </c>
      <c r="C235" t="s">
        <v>64</v>
      </c>
      <c r="D235">
        <v>14</v>
      </c>
      <c r="E235">
        <v>5</v>
      </c>
      <c r="F235">
        <v>-0.98000000000000043</v>
      </c>
      <c r="H235">
        <v>13.123359599999999</v>
      </c>
      <c r="I235" t="s">
        <v>47</v>
      </c>
      <c r="J235">
        <v>-8.0000000000000071E-2</v>
      </c>
      <c r="K235">
        <v>0</v>
      </c>
      <c r="L235">
        <f t="shared" si="6"/>
        <v>13</v>
      </c>
      <c r="M235">
        <f t="shared" si="7"/>
        <v>39</v>
      </c>
    </row>
    <row r="236" spans="1:13" hidden="1" x14ac:dyDescent="0.3">
      <c r="A236">
        <v>2</v>
      </c>
      <c r="B236" s="3">
        <v>43615.666666666664</v>
      </c>
      <c r="C236" t="s">
        <v>64</v>
      </c>
      <c r="D236">
        <v>14</v>
      </c>
      <c r="E236">
        <v>5</v>
      </c>
      <c r="F236">
        <v>-0.98000000000000043</v>
      </c>
      <c r="H236">
        <v>147.63779549999998</v>
      </c>
      <c r="I236" t="s">
        <v>47</v>
      </c>
      <c r="J236">
        <v>-0.10999999999999988</v>
      </c>
      <c r="K236">
        <v>12</v>
      </c>
      <c r="L236">
        <f t="shared" si="6"/>
        <v>148</v>
      </c>
      <c r="M236">
        <f t="shared" si="7"/>
        <v>443</v>
      </c>
    </row>
    <row r="237" spans="1:13" hidden="1" x14ac:dyDescent="0.3">
      <c r="A237">
        <v>1</v>
      </c>
      <c r="B237" s="3">
        <v>43615.666666666664</v>
      </c>
      <c r="C237" t="s">
        <v>64</v>
      </c>
      <c r="D237">
        <v>14</v>
      </c>
      <c r="E237">
        <v>5</v>
      </c>
      <c r="F237">
        <v>-0.98000000000000043</v>
      </c>
      <c r="H237">
        <v>387.13910819999995</v>
      </c>
      <c r="I237" t="s">
        <v>68</v>
      </c>
      <c r="J237">
        <v>-0.21000000000000041</v>
      </c>
      <c r="K237">
        <v>0</v>
      </c>
      <c r="L237">
        <f t="shared" si="6"/>
        <v>387</v>
      </c>
      <c r="M237">
        <f t="shared" si="7"/>
        <v>1161</v>
      </c>
    </row>
    <row r="238" spans="1:13" x14ac:dyDescent="0.3">
      <c r="A238">
        <v>5</v>
      </c>
      <c r="B238" s="3">
        <v>43615.666666666664</v>
      </c>
      <c r="C238" t="s">
        <v>64</v>
      </c>
      <c r="D238">
        <v>13</v>
      </c>
      <c r="E238">
        <v>5</v>
      </c>
      <c r="F238">
        <v>-0.91699999999999982</v>
      </c>
      <c r="H238">
        <v>0.33333333333333331</v>
      </c>
      <c r="I238" t="s">
        <v>50</v>
      </c>
      <c r="J238">
        <v>1.0000000000000009E-2</v>
      </c>
      <c r="K238">
        <v>0</v>
      </c>
      <c r="L238">
        <f t="shared" si="6"/>
        <v>0</v>
      </c>
      <c r="M238">
        <f t="shared" si="7"/>
        <v>1</v>
      </c>
    </row>
    <row r="239" spans="1:13" x14ac:dyDescent="0.3">
      <c r="A239">
        <v>4</v>
      </c>
      <c r="B239" s="3">
        <v>43615.666666666664</v>
      </c>
      <c r="C239" t="s">
        <v>64</v>
      </c>
      <c r="D239">
        <v>13</v>
      </c>
      <c r="E239">
        <v>5</v>
      </c>
      <c r="F239">
        <v>-0.91699999999999982</v>
      </c>
      <c r="H239">
        <v>1.3333333333333333</v>
      </c>
      <c r="I239" t="s">
        <v>50</v>
      </c>
      <c r="J239">
        <v>-0.88000000000000012</v>
      </c>
      <c r="K239" t="s">
        <v>114</v>
      </c>
      <c r="L239">
        <f t="shared" si="6"/>
        <v>1</v>
      </c>
      <c r="M239">
        <f t="shared" si="7"/>
        <v>4</v>
      </c>
    </row>
    <row r="240" spans="1:13" hidden="1" x14ac:dyDescent="0.3">
      <c r="A240">
        <v>3</v>
      </c>
      <c r="B240" s="3">
        <v>43615.666666666664</v>
      </c>
      <c r="C240" t="s">
        <v>64</v>
      </c>
      <c r="D240">
        <v>13</v>
      </c>
      <c r="E240">
        <v>5</v>
      </c>
      <c r="F240">
        <v>-0.91699999999999982</v>
      </c>
      <c r="H240">
        <v>19.685039399999997</v>
      </c>
      <c r="I240" t="s">
        <v>47</v>
      </c>
      <c r="J240">
        <v>0.45999999999999996</v>
      </c>
      <c r="K240">
        <v>0</v>
      </c>
      <c r="L240">
        <f t="shared" si="6"/>
        <v>20</v>
      </c>
      <c r="M240">
        <f t="shared" si="7"/>
        <v>59</v>
      </c>
    </row>
    <row r="241" spans="1:13" hidden="1" x14ac:dyDescent="0.3">
      <c r="A241">
        <v>2</v>
      </c>
      <c r="B241" s="3">
        <v>43615.666666666664</v>
      </c>
      <c r="C241" t="s">
        <v>64</v>
      </c>
      <c r="D241">
        <v>13</v>
      </c>
      <c r="E241">
        <v>5</v>
      </c>
      <c r="F241">
        <v>-0.91699999999999982</v>
      </c>
      <c r="H241">
        <v>166.22922159999999</v>
      </c>
      <c r="I241" t="s">
        <v>48</v>
      </c>
      <c r="J241">
        <v>-0.50999999999999979</v>
      </c>
      <c r="K241">
        <v>18</v>
      </c>
      <c r="L241">
        <f t="shared" si="6"/>
        <v>166</v>
      </c>
      <c r="M241">
        <f t="shared" si="7"/>
        <v>499</v>
      </c>
    </row>
    <row r="242" spans="1:13" hidden="1" x14ac:dyDescent="0.3">
      <c r="A242">
        <v>1</v>
      </c>
      <c r="B242" s="3">
        <v>43615.666666666664</v>
      </c>
      <c r="C242" t="s">
        <v>64</v>
      </c>
      <c r="D242">
        <v>13</v>
      </c>
      <c r="E242">
        <v>5</v>
      </c>
      <c r="F242">
        <v>-0.91699999999999982</v>
      </c>
      <c r="H242">
        <v>399.16885449999995</v>
      </c>
      <c r="I242" t="s">
        <v>68</v>
      </c>
      <c r="J242">
        <v>3.0000000000001137E-3</v>
      </c>
      <c r="K242">
        <v>0</v>
      </c>
      <c r="L242">
        <f t="shared" si="6"/>
        <v>399</v>
      </c>
      <c r="M242">
        <f t="shared" si="7"/>
        <v>1198</v>
      </c>
    </row>
    <row r="243" spans="1:13" x14ac:dyDescent="0.3">
      <c r="A243">
        <v>5</v>
      </c>
      <c r="B243" s="3">
        <v>43615.666666666664</v>
      </c>
      <c r="C243" t="s">
        <v>64</v>
      </c>
      <c r="D243">
        <v>12</v>
      </c>
      <c r="E243">
        <v>5</v>
      </c>
      <c r="F243">
        <v>-0.83000000000000007</v>
      </c>
      <c r="H243">
        <v>0.33333333333333331</v>
      </c>
      <c r="I243" t="s">
        <v>50</v>
      </c>
      <c r="J243">
        <v>1.0000000000000009E-2</v>
      </c>
      <c r="K243">
        <v>0</v>
      </c>
      <c r="L243">
        <f t="shared" si="6"/>
        <v>0</v>
      </c>
      <c r="M243">
        <f t="shared" si="7"/>
        <v>1</v>
      </c>
    </row>
    <row r="244" spans="1:13" x14ac:dyDescent="0.3">
      <c r="A244">
        <v>4</v>
      </c>
      <c r="B244" s="3">
        <v>43615.666666666664</v>
      </c>
      <c r="C244" t="s">
        <v>64</v>
      </c>
      <c r="D244">
        <v>12</v>
      </c>
      <c r="E244">
        <v>5</v>
      </c>
      <c r="F244">
        <v>-0.83000000000000007</v>
      </c>
      <c r="H244">
        <v>7.6552930999999997</v>
      </c>
      <c r="I244" t="s">
        <v>50</v>
      </c>
      <c r="J244">
        <v>-0.1160000000000001</v>
      </c>
      <c r="K244" t="s">
        <v>114</v>
      </c>
      <c r="L244">
        <f t="shared" si="6"/>
        <v>8</v>
      </c>
      <c r="M244">
        <f t="shared" si="7"/>
        <v>23</v>
      </c>
    </row>
    <row r="245" spans="1:13" hidden="1" x14ac:dyDescent="0.3">
      <c r="A245">
        <v>3</v>
      </c>
      <c r="B245" s="3">
        <v>43615.666666666664</v>
      </c>
      <c r="C245" t="s">
        <v>64</v>
      </c>
      <c r="D245">
        <v>12</v>
      </c>
      <c r="E245">
        <v>5</v>
      </c>
      <c r="F245">
        <v>-0.83000000000000007</v>
      </c>
      <c r="H245">
        <v>153.10586199999997</v>
      </c>
      <c r="I245" t="s">
        <v>48</v>
      </c>
      <c r="J245">
        <v>8.6000000000000076E-2</v>
      </c>
      <c r="K245">
        <v>7</v>
      </c>
      <c r="L245">
        <f t="shared" si="6"/>
        <v>153</v>
      </c>
      <c r="M245">
        <f t="shared" si="7"/>
        <v>459</v>
      </c>
    </row>
    <row r="246" spans="1:13" hidden="1" x14ac:dyDescent="0.3">
      <c r="A246">
        <v>2</v>
      </c>
      <c r="B246" s="3">
        <v>43615.666666666664</v>
      </c>
      <c r="C246" t="s">
        <v>64</v>
      </c>
      <c r="D246">
        <v>12</v>
      </c>
      <c r="E246">
        <v>5</v>
      </c>
      <c r="F246">
        <v>-0.83000000000000007</v>
      </c>
      <c r="H246">
        <v>168.41644819999999</v>
      </c>
      <c r="I246" t="s">
        <v>49</v>
      </c>
      <c r="J246">
        <v>-0.58000000000000007</v>
      </c>
      <c r="K246">
        <v>0</v>
      </c>
      <c r="L246">
        <f t="shared" si="6"/>
        <v>168</v>
      </c>
      <c r="M246">
        <f t="shared" si="7"/>
        <v>505</v>
      </c>
    </row>
    <row r="247" spans="1:13" hidden="1" x14ac:dyDescent="0.3">
      <c r="A247">
        <v>1</v>
      </c>
      <c r="B247" s="3">
        <v>43615.666666666664</v>
      </c>
      <c r="C247" t="s">
        <v>64</v>
      </c>
      <c r="D247">
        <v>12</v>
      </c>
      <c r="E247">
        <v>5</v>
      </c>
      <c r="F247">
        <v>-0.83000000000000007</v>
      </c>
      <c r="H247">
        <v>426.50918699999994</v>
      </c>
      <c r="I247" t="s">
        <v>68</v>
      </c>
      <c r="J247">
        <v>-0.22999999999999998</v>
      </c>
      <c r="K247">
        <v>0</v>
      </c>
      <c r="L247">
        <f t="shared" si="6"/>
        <v>427</v>
      </c>
      <c r="M247">
        <f t="shared" si="7"/>
        <v>1280</v>
      </c>
    </row>
    <row r="248" spans="1:13" x14ac:dyDescent="0.3">
      <c r="A248">
        <v>4</v>
      </c>
      <c r="B248" s="3">
        <v>43615.666666666664</v>
      </c>
      <c r="C248" t="s">
        <v>64</v>
      </c>
      <c r="D248">
        <v>11</v>
      </c>
      <c r="E248">
        <v>4</v>
      </c>
      <c r="F248">
        <v>-0.87999999999999989</v>
      </c>
      <c r="H248">
        <v>0.33333333333333331</v>
      </c>
      <c r="I248" t="s">
        <v>50</v>
      </c>
      <c r="J248">
        <v>1.0000000000000009E-2</v>
      </c>
      <c r="K248">
        <v>0</v>
      </c>
      <c r="L248">
        <f t="shared" si="6"/>
        <v>0</v>
      </c>
      <c r="M248">
        <f t="shared" si="7"/>
        <v>1</v>
      </c>
    </row>
    <row r="249" spans="1:13" x14ac:dyDescent="0.3">
      <c r="A249">
        <v>3</v>
      </c>
      <c r="B249" s="3">
        <v>43615.666666666664</v>
      </c>
      <c r="C249" t="s">
        <v>64</v>
      </c>
      <c r="D249">
        <v>11</v>
      </c>
      <c r="E249">
        <v>4</v>
      </c>
      <c r="F249">
        <v>-0.87999999999999989</v>
      </c>
      <c r="H249">
        <v>2.6666666666666665</v>
      </c>
      <c r="I249" t="s">
        <v>50</v>
      </c>
      <c r="J249">
        <v>-0.59000000000000008</v>
      </c>
      <c r="K249" t="s">
        <v>115</v>
      </c>
      <c r="L249">
        <f t="shared" si="6"/>
        <v>3</v>
      </c>
      <c r="M249">
        <f t="shared" si="7"/>
        <v>8</v>
      </c>
    </row>
    <row r="250" spans="1:13" hidden="1" x14ac:dyDescent="0.3">
      <c r="A250">
        <v>2</v>
      </c>
      <c r="B250" s="3">
        <v>43615.666666666664</v>
      </c>
      <c r="C250" t="s">
        <v>64</v>
      </c>
      <c r="D250">
        <v>11</v>
      </c>
      <c r="E250">
        <v>4</v>
      </c>
      <c r="F250">
        <v>-0.87999999999999989</v>
      </c>
      <c r="H250">
        <v>20.778652699999999</v>
      </c>
      <c r="I250" t="s">
        <v>49</v>
      </c>
      <c r="J250">
        <v>0.10999999999999988</v>
      </c>
      <c r="K250">
        <v>0</v>
      </c>
      <c r="L250">
        <f t="shared" si="6"/>
        <v>21</v>
      </c>
      <c r="M250">
        <f t="shared" si="7"/>
        <v>62</v>
      </c>
    </row>
    <row r="251" spans="1:13" hidden="1" x14ac:dyDescent="0.3">
      <c r="A251">
        <v>1</v>
      </c>
      <c r="B251" s="3">
        <v>43615.666666666664</v>
      </c>
      <c r="C251" t="s">
        <v>64</v>
      </c>
      <c r="D251">
        <v>11</v>
      </c>
      <c r="E251">
        <v>4</v>
      </c>
      <c r="F251">
        <v>-0.87999999999999989</v>
      </c>
      <c r="H251">
        <v>188.10148759999998</v>
      </c>
      <c r="I251" t="s">
        <v>68</v>
      </c>
      <c r="J251">
        <v>-0.4099999999999997</v>
      </c>
      <c r="K251">
        <v>19</v>
      </c>
      <c r="L251">
        <f t="shared" si="6"/>
        <v>188</v>
      </c>
      <c r="M251">
        <f t="shared" si="7"/>
        <v>564</v>
      </c>
    </row>
    <row r="252" spans="1:13" x14ac:dyDescent="0.3">
      <c r="A252">
        <v>5</v>
      </c>
      <c r="B252" s="3">
        <v>43615.666666666664</v>
      </c>
      <c r="C252" t="s">
        <v>64</v>
      </c>
      <c r="D252">
        <v>10</v>
      </c>
      <c r="E252">
        <v>5</v>
      </c>
      <c r="F252">
        <v>-0.52500000000000036</v>
      </c>
      <c r="H252">
        <v>0.66666666666666663</v>
      </c>
      <c r="I252" t="s">
        <v>50</v>
      </c>
      <c r="J252">
        <v>1.0000000000000009E-2</v>
      </c>
      <c r="K252">
        <v>0</v>
      </c>
      <c r="L252">
        <f t="shared" si="6"/>
        <v>1</v>
      </c>
      <c r="M252">
        <f t="shared" si="7"/>
        <v>2</v>
      </c>
    </row>
    <row r="253" spans="1:13" x14ac:dyDescent="0.3">
      <c r="A253">
        <v>4</v>
      </c>
      <c r="B253" s="3">
        <v>43615.666666666664</v>
      </c>
      <c r="C253" t="s">
        <v>64</v>
      </c>
      <c r="D253">
        <v>10</v>
      </c>
      <c r="E253">
        <v>5</v>
      </c>
      <c r="F253">
        <v>-0.52500000000000036</v>
      </c>
      <c r="H253">
        <v>2.1872265999999998</v>
      </c>
      <c r="I253" t="s">
        <v>50</v>
      </c>
      <c r="J253">
        <v>-0.66999999999999993</v>
      </c>
      <c r="K253" t="s">
        <v>111</v>
      </c>
      <c r="L253">
        <f t="shared" si="6"/>
        <v>2</v>
      </c>
      <c r="M253">
        <f t="shared" si="7"/>
        <v>7</v>
      </c>
    </row>
    <row r="254" spans="1:13" hidden="1" x14ac:dyDescent="0.3">
      <c r="A254">
        <v>3</v>
      </c>
      <c r="B254" s="3">
        <v>43615.666666666664</v>
      </c>
      <c r="C254" t="s">
        <v>64</v>
      </c>
      <c r="D254">
        <v>10</v>
      </c>
      <c r="E254">
        <v>5</v>
      </c>
      <c r="F254">
        <v>-0.52500000000000036</v>
      </c>
      <c r="H254">
        <v>21.872265999999996</v>
      </c>
      <c r="I254" t="s">
        <v>47</v>
      </c>
      <c r="J254">
        <v>0.24999999999999978</v>
      </c>
      <c r="K254">
        <v>0</v>
      </c>
      <c r="L254">
        <f t="shared" si="6"/>
        <v>22</v>
      </c>
      <c r="M254">
        <f t="shared" si="7"/>
        <v>66</v>
      </c>
    </row>
    <row r="255" spans="1:13" hidden="1" x14ac:dyDescent="0.3">
      <c r="A255">
        <v>2</v>
      </c>
      <c r="B255" s="3">
        <v>43615.666666666664</v>
      </c>
      <c r="C255" t="s">
        <v>64</v>
      </c>
      <c r="D255">
        <v>10</v>
      </c>
      <c r="E255">
        <v>5</v>
      </c>
      <c r="F255">
        <v>-0.52500000000000036</v>
      </c>
      <c r="H255">
        <v>202.31846049999999</v>
      </c>
      <c r="I255" t="s">
        <v>47</v>
      </c>
      <c r="J255">
        <v>-6.0000000000000053E-2</v>
      </c>
      <c r="K255">
        <v>20</v>
      </c>
      <c r="L255">
        <f t="shared" si="6"/>
        <v>202</v>
      </c>
      <c r="M255">
        <f t="shared" si="7"/>
        <v>607</v>
      </c>
    </row>
    <row r="256" spans="1:13" hidden="1" x14ac:dyDescent="0.3">
      <c r="A256">
        <v>1</v>
      </c>
      <c r="B256" s="3">
        <v>43615.666666666664</v>
      </c>
      <c r="C256" t="s">
        <v>64</v>
      </c>
      <c r="D256">
        <v>10</v>
      </c>
      <c r="E256">
        <v>5</v>
      </c>
      <c r="F256">
        <v>-0.52500000000000036</v>
      </c>
      <c r="H256">
        <v>477.90901209999998</v>
      </c>
      <c r="I256" t="s">
        <v>68</v>
      </c>
      <c r="J256">
        <v>-5.500000000000016E-2</v>
      </c>
      <c r="K256">
        <v>0</v>
      </c>
      <c r="L256">
        <f t="shared" si="6"/>
        <v>478</v>
      </c>
      <c r="M256">
        <f t="shared" si="7"/>
        <v>1434</v>
      </c>
    </row>
    <row r="257" spans="1:13" x14ac:dyDescent="0.3">
      <c r="A257">
        <v>6</v>
      </c>
      <c r="B257" s="3">
        <v>43615.666666666664</v>
      </c>
      <c r="C257" t="s">
        <v>64</v>
      </c>
      <c r="D257">
        <v>9</v>
      </c>
      <c r="E257">
        <v>6</v>
      </c>
      <c r="F257">
        <v>-1.21</v>
      </c>
      <c r="H257">
        <v>0.66666666666666663</v>
      </c>
      <c r="I257" t="s">
        <v>50</v>
      </c>
      <c r="J257">
        <v>1.0000000000000009E-2</v>
      </c>
      <c r="K257">
        <v>0</v>
      </c>
      <c r="L257">
        <f t="shared" si="6"/>
        <v>1</v>
      </c>
      <c r="M257">
        <f t="shared" si="7"/>
        <v>2</v>
      </c>
    </row>
    <row r="258" spans="1:13" hidden="1" x14ac:dyDescent="0.3">
      <c r="A258">
        <v>5</v>
      </c>
      <c r="B258" s="3">
        <v>43615.666666666664</v>
      </c>
      <c r="C258" t="s">
        <v>64</v>
      </c>
      <c r="D258">
        <v>9</v>
      </c>
      <c r="E258">
        <v>6</v>
      </c>
      <c r="F258">
        <v>-1.21</v>
      </c>
      <c r="H258">
        <v>21.872265999999996</v>
      </c>
      <c r="I258" t="s">
        <v>48</v>
      </c>
      <c r="J258">
        <v>0.3899999999999999</v>
      </c>
      <c r="K258">
        <v>0</v>
      </c>
      <c r="L258">
        <f t="shared" ref="L258:L321" si="8">ROUND(H258,0)</f>
        <v>22</v>
      </c>
      <c r="M258">
        <f t="shared" ref="M258:M321" si="9">ROUND(H258*3,0)</f>
        <v>66</v>
      </c>
    </row>
    <row r="259" spans="1:13" hidden="1" x14ac:dyDescent="0.3">
      <c r="A259">
        <v>4</v>
      </c>
      <c r="B259" s="3">
        <v>43615.666666666664</v>
      </c>
      <c r="C259" t="s">
        <v>64</v>
      </c>
      <c r="D259">
        <v>9</v>
      </c>
      <c r="E259">
        <v>6</v>
      </c>
      <c r="F259">
        <v>-1.21</v>
      </c>
      <c r="H259">
        <v>43.744531999999992</v>
      </c>
      <c r="I259" t="s">
        <v>48</v>
      </c>
      <c r="J259">
        <v>-0.79999999999999982</v>
      </c>
      <c r="K259">
        <v>0</v>
      </c>
      <c r="L259">
        <f t="shared" si="8"/>
        <v>44</v>
      </c>
      <c r="M259">
        <f t="shared" si="9"/>
        <v>131</v>
      </c>
    </row>
    <row r="260" spans="1:13" hidden="1" x14ac:dyDescent="0.3">
      <c r="A260">
        <v>3</v>
      </c>
      <c r="B260" s="3">
        <v>43615.666666666664</v>
      </c>
      <c r="C260" t="s">
        <v>64</v>
      </c>
      <c r="D260">
        <v>9</v>
      </c>
      <c r="E260">
        <v>6</v>
      </c>
      <c r="F260">
        <v>-1.21</v>
      </c>
      <c r="H260">
        <v>109.36133</v>
      </c>
      <c r="I260" t="s">
        <v>48</v>
      </c>
      <c r="J260">
        <v>-0.80000000000000027</v>
      </c>
      <c r="K260">
        <v>0</v>
      </c>
      <c r="L260">
        <f t="shared" si="8"/>
        <v>109</v>
      </c>
      <c r="M260">
        <f t="shared" si="9"/>
        <v>328</v>
      </c>
    </row>
    <row r="261" spans="1:13" hidden="1" x14ac:dyDescent="0.3">
      <c r="A261">
        <v>2</v>
      </c>
      <c r="B261" s="3">
        <v>43615.666666666664</v>
      </c>
      <c r="C261" t="s">
        <v>64</v>
      </c>
      <c r="D261">
        <v>9</v>
      </c>
      <c r="E261">
        <v>6</v>
      </c>
      <c r="F261">
        <v>-1.21</v>
      </c>
      <c r="H261">
        <v>377.29658849999998</v>
      </c>
      <c r="I261" t="s">
        <v>48</v>
      </c>
      <c r="J261">
        <v>0.3100000000000005</v>
      </c>
      <c r="K261">
        <v>0</v>
      </c>
      <c r="L261">
        <f t="shared" si="8"/>
        <v>377</v>
      </c>
      <c r="M261">
        <f t="shared" si="9"/>
        <v>1132</v>
      </c>
    </row>
    <row r="262" spans="1:13" hidden="1" x14ac:dyDescent="0.3">
      <c r="A262">
        <v>1</v>
      </c>
      <c r="B262" s="3">
        <v>43615.666666666664</v>
      </c>
      <c r="C262" t="s">
        <v>64</v>
      </c>
      <c r="D262">
        <v>9</v>
      </c>
      <c r="E262">
        <v>6</v>
      </c>
      <c r="F262">
        <v>-1.21</v>
      </c>
      <c r="H262">
        <v>530.40245049999999</v>
      </c>
      <c r="I262" t="s">
        <v>68</v>
      </c>
      <c r="J262">
        <v>-0.32000000000000028</v>
      </c>
      <c r="K262">
        <v>0</v>
      </c>
      <c r="L262">
        <f t="shared" si="8"/>
        <v>530</v>
      </c>
      <c r="M262">
        <f t="shared" si="9"/>
        <v>1591</v>
      </c>
    </row>
    <row r="263" spans="1:13" x14ac:dyDescent="0.3">
      <c r="A263">
        <v>4</v>
      </c>
      <c r="B263" s="3">
        <v>43615.666666666664</v>
      </c>
      <c r="C263" t="s">
        <v>64</v>
      </c>
      <c r="D263">
        <v>8</v>
      </c>
      <c r="E263">
        <v>4</v>
      </c>
      <c r="F263">
        <v>-0.95000000000000018</v>
      </c>
      <c r="H263">
        <v>0.33333333333333331</v>
      </c>
      <c r="I263" t="s">
        <v>50</v>
      </c>
      <c r="J263">
        <v>1.0000000000000009E-2</v>
      </c>
      <c r="K263">
        <v>0</v>
      </c>
      <c r="L263">
        <f t="shared" si="8"/>
        <v>0</v>
      </c>
      <c r="M263">
        <f t="shared" si="9"/>
        <v>1</v>
      </c>
    </row>
    <row r="264" spans="1:13" x14ac:dyDescent="0.3">
      <c r="A264">
        <v>3</v>
      </c>
      <c r="B264" s="3">
        <v>43615.666666666664</v>
      </c>
      <c r="C264" t="s">
        <v>64</v>
      </c>
      <c r="D264">
        <v>8</v>
      </c>
      <c r="E264">
        <v>4</v>
      </c>
      <c r="F264">
        <v>-0.95000000000000018</v>
      </c>
      <c r="H264">
        <v>1.3333333333333333</v>
      </c>
      <c r="I264" t="s">
        <v>50</v>
      </c>
      <c r="J264">
        <v>-0.88000000000000012</v>
      </c>
      <c r="K264" t="s">
        <v>113</v>
      </c>
      <c r="L264">
        <f t="shared" si="8"/>
        <v>1</v>
      </c>
      <c r="M264">
        <f t="shared" si="9"/>
        <v>4</v>
      </c>
    </row>
    <row r="265" spans="1:13" x14ac:dyDescent="0.3">
      <c r="A265">
        <v>2</v>
      </c>
      <c r="B265" s="3">
        <v>43615.666666666664</v>
      </c>
      <c r="C265" t="s">
        <v>64</v>
      </c>
      <c r="D265">
        <v>8</v>
      </c>
      <c r="E265">
        <v>4</v>
      </c>
      <c r="F265">
        <v>-0.95000000000000018</v>
      </c>
      <c r="H265">
        <v>18.5914261</v>
      </c>
      <c r="I265" t="s">
        <v>50</v>
      </c>
      <c r="J265">
        <v>4.0000000000000036E-2</v>
      </c>
      <c r="K265" t="s">
        <v>114</v>
      </c>
      <c r="L265">
        <f t="shared" si="8"/>
        <v>19</v>
      </c>
      <c r="M265">
        <f t="shared" si="9"/>
        <v>56</v>
      </c>
    </row>
    <row r="266" spans="1:13" hidden="1" x14ac:dyDescent="0.3">
      <c r="A266">
        <v>1</v>
      </c>
      <c r="B266" s="3">
        <v>43615.666666666664</v>
      </c>
      <c r="C266" t="s">
        <v>64</v>
      </c>
      <c r="D266">
        <v>8</v>
      </c>
      <c r="E266">
        <v>4</v>
      </c>
      <c r="F266">
        <v>-0.95000000000000018</v>
      </c>
      <c r="H266">
        <v>168.41644819999999</v>
      </c>
      <c r="I266" t="s">
        <v>68</v>
      </c>
      <c r="J266">
        <v>-0.12000000000000011</v>
      </c>
      <c r="K266">
        <v>17</v>
      </c>
      <c r="L266">
        <f t="shared" si="8"/>
        <v>168</v>
      </c>
      <c r="M266">
        <f t="shared" si="9"/>
        <v>505</v>
      </c>
    </row>
    <row r="267" spans="1:13" x14ac:dyDescent="0.3">
      <c r="A267">
        <v>4</v>
      </c>
      <c r="B267" s="3">
        <v>43615.666666666664</v>
      </c>
      <c r="C267" t="s">
        <v>64</v>
      </c>
      <c r="D267">
        <v>7</v>
      </c>
      <c r="E267">
        <v>4</v>
      </c>
      <c r="F267">
        <v>0.41000000000000014</v>
      </c>
      <c r="H267">
        <v>0.33333333333333331</v>
      </c>
      <c r="I267" t="s">
        <v>50</v>
      </c>
      <c r="J267">
        <v>1.0000000000000009E-2</v>
      </c>
      <c r="K267">
        <v>0</v>
      </c>
      <c r="L267">
        <f t="shared" si="8"/>
        <v>0</v>
      </c>
      <c r="M267">
        <f t="shared" si="9"/>
        <v>1</v>
      </c>
    </row>
    <row r="268" spans="1:13" x14ac:dyDescent="0.3">
      <c r="A268">
        <v>3</v>
      </c>
      <c r="B268" s="3">
        <v>43615.666666666664</v>
      </c>
      <c r="C268" t="s">
        <v>64</v>
      </c>
      <c r="D268">
        <v>7</v>
      </c>
      <c r="E268">
        <v>4</v>
      </c>
      <c r="F268">
        <v>0.41000000000000014</v>
      </c>
      <c r="H268">
        <v>6.5616797999999994</v>
      </c>
      <c r="I268" t="s">
        <v>50</v>
      </c>
      <c r="J268">
        <v>-0.15799999999999992</v>
      </c>
      <c r="K268" t="s">
        <v>114</v>
      </c>
      <c r="L268">
        <f t="shared" si="8"/>
        <v>7</v>
      </c>
      <c r="M268">
        <f t="shared" si="9"/>
        <v>20</v>
      </c>
    </row>
    <row r="269" spans="1:13" hidden="1" x14ac:dyDescent="0.3">
      <c r="A269">
        <v>2</v>
      </c>
      <c r="B269" s="3">
        <v>43615.666666666664</v>
      </c>
      <c r="C269" t="s">
        <v>64</v>
      </c>
      <c r="D269">
        <v>7</v>
      </c>
      <c r="E269">
        <v>4</v>
      </c>
      <c r="F269">
        <v>0.41000000000000014</v>
      </c>
      <c r="H269">
        <v>190.28871419999999</v>
      </c>
      <c r="I269" t="s">
        <v>48</v>
      </c>
      <c r="J269">
        <v>0.33799999999999986</v>
      </c>
      <c r="K269">
        <v>6</v>
      </c>
      <c r="L269">
        <f t="shared" si="8"/>
        <v>190</v>
      </c>
      <c r="M269">
        <f t="shared" si="9"/>
        <v>571</v>
      </c>
    </row>
    <row r="270" spans="1:13" hidden="1" x14ac:dyDescent="0.3">
      <c r="A270">
        <v>1</v>
      </c>
      <c r="B270" s="3">
        <v>43615.666666666664</v>
      </c>
      <c r="C270" t="s">
        <v>64</v>
      </c>
      <c r="D270">
        <v>7</v>
      </c>
      <c r="E270">
        <v>4</v>
      </c>
      <c r="F270">
        <v>0.41000000000000014</v>
      </c>
      <c r="H270">
        <v>460.41119929999996</v>
      </c>
      <c r="I270" t="s">
        <v>68</v>
      </c>
      <c r="J270">
        <v>0.2200000000000002</v>
      </c>
      <c r="K270">
        <v>0</v>
      </c>
      <c r="L270">
        <f t="shared" si="8"/>
        <v>460</v>
      </c>
      <c r="M270">
        <f t="shared" si="9"/>
        <v>1381</v>
      </c>
    </row>
    <row r="271" spans="1:13" x14ac:dyDescent="0.3">
      <c r="A271">
        <v>5</v>
      </c>
      <c r="B271" s="3">
        <v>43615.666666666664</v>
      </c>
      <c r="C271" t="s">
        <v>64</v>
      </c>
      <c r="D271">
        <v>6</v>
      </c>
      <c r="E271">
        <v>5</v>
      </c>
      <c r="F271">
        <v>-0.99500000000000011</v>
      </c>
      <c r="H271">
        <v>0.33333333333333331</v>
      </c>
      <c r="I271" t="s">
        <v>50</v>
      </c>
      <c r="J271">
        <v>1.0000000000000009E-2</v>
      </c>
      <c r="K271">
        <v>0</v>
      </c>
      <c r="L271">
        <f t="shared" si="8"/>
        <v>0</v>
      </c>
      <c r="M271">
        <f t="shared" si="9"/>
        <v>1</v>
      </c>
    </row>
    <row r="272" spans="1:13" x14ac:dyDescent="0.3">
      <c r="A272">
        <v>4</v>
      </c>
      <c r="B272" s="3">
        <v>43615.666666666664</v>
      </c>
      <c r="C272" t="s">
        <v>64</v>
      </c>
      <c r="D272">
        <v>6</v>
      </c>
      <c r="E272">
        <v>5</v>
      </c>
      <c r="F272">
        <v>-0.99500000000000011</v>
      </c>
      <c r="H272">
        <v>4.3744531999999996</v>
      </c>
      <c r="I272" t="s">
        <v>50</v>
      </c>
      <c r="J272">
        <v>-0.29800000000000004</v>
      </c>
      <c r="K272" t="s">
        <v>115</v>
      </c>
      <c r="L272">
        <f t="shared" si="8"/>
        <v>4</v>
      </c>
      <c r="M272">
        <f t="shared" si="9"/>
        <v>13</v>
      </c>
    </row>
    <row r="273" spans="1:13" x14ac:dyDescent="0.3">
      <c r="A273">
        <v>3</v>
      </c>
      <c r="B273" s="3">
        <v>43615.666666666664</v>
      </c>
      <c r="C273" t="s">
        <v>64</v>
      </c>
      <c r="D273">
        <v>6</v>
      </c>
      <c r="E273">
        <v>5</v>
      </c>
      <c r="F273">
        <v>-0.99500000000000011</v>
      </c>
      <c r="H273">
        <v>20.778652699999999</v>
      </c>
      <c r="I273" t="s">
        <v>50</v>
      </c>
      <c r="J273">
        <v>-0.48799999999999977</v>
      </c>
      <c r="K273" t="s">
        <v>115</v>
      </c>
      <c r="L273">
        <f t="shared" si="8"/>
        <v>21</v>
      </c>
      <c r="M273">
        <f t="shared" si="9"/>
        <v>62</v>
      </c>
    </row>
    <row r="274" spans="1:13" hidden="1" x14ac:dyDescent="0.3">
      <c r="A274">
        <v>2</v>
      </c>
      <c r="B274" s="3">
        <v>43615.666666666664</v>
      </c>
      <c r="C274" t="s">
        <v>64</v>
      </c>
      <c r="D274">
        <v>6</v>
      </c>
      <c r="E274">
        <v>5</v>
      </c>
      <c r="F274">
        <v>-0.99500000000000011</v>
      </c>
      <c r="H274">
        <v>157.48031519999998</v>
      </c>
      <c r="I274" t="s">
        <v>48</v>
      </c>
      <c r="J274">
        <v>-0.24400000000000022</v>
      </c>
      <c r="K274">
        <v>19</v>
      </c>
      <c r="L274">
        <f t="shared" si="8"/>
        <v>157</v>
      </c>
      <c r="M274">
        <f t="shared" si="9"/>
        <v>472</v>
      </c>
    </row>
    <row r="275" spans="1:13" hidden="1" x14ac:dyDescent="0.3">
      <c r="A275">
        <v>1</v>
      </c>
      <c r="B275" s="3">
        <v>43615.666666666664</v>
      </c>
      <c r="C275" t="s">
        <v>64</v>
      </c>
      <c r="D275">
        <v>6</v>
      </c>
      <c r="E275">
        <v>5</v>
      </c>
      <c r="F275">
        <v>-0.99500000000000011</v>
      </c>
      <c r="H275">
        <v>377.29658849999998</v>
      </c>
      <c r="I275" t="s">
        <v>68</v>
      </c>
      <c r="J275">
        <v>2.4999999999999911E-2</v>
      </c>
      <c r="K275">
        <v>0</v>
      </c>
      <c r="L275">
        <f t="shared" si="8"/>
        <v>377</v>
      </c>
      <c r="M275">
        <f t="shared" si="9"/>
        <v>1132</v>
      </c>
    </row>
    <row r="276" spans="1:13" x14ac:dyDescent="0.3">
      <c r="A276">
        <v>4</v>
      </c>
      <c r="B276" s="3">
        <v>43615.666666666664</v>
      </c>
      <c r="C276" t="s">
        <v>64</v>
      </c>
      <c r="D276">
        <v>5</v>
      </c>
      <c r="E276">
        <v>4</v>
      </c>
      <c r="F276">
        <v>-8.0000000000000071E-2</v>
      </c>
      <c r="H276">
        <v>2.6666666666666665</v>
      </c>
      <c r="I276" t="s">
        <v>50</v>
      </c>
      <c r="J276">
        <v>0.41999999999999993</v>
      </c>
      <c r="K276">
        <v>0</v>
      </c>
      <c r="L276">
        <f t="shared" si="8"/>
        <v>3</v>
      </c>
      <c r="M276">
        <f t="shared" si="9"/>
        <v>8</v>
      </c>
    </row>
    <row r="277" spans="1:13" hidden="1" x14ac:dyDescent="0.3">
      <c r="A277">
        <v>3</v>
      </c>
      <c r="B277" s="3">
        <v>43615.666666666664</v>
      </c>
      <c r="C277" t="s">
        <v>64</v>
      </c>
      <c r="D277">
        <v>5</v>
      </c>
      <c r="E277">
        <v>4</v>
      </c>
      <c r="F277">
        <v>-8.0000000000000071E-2</v>
      </c>
      <c r="H277">
        <v>13.123359599999999</v>
      </c>
      <c r="I277" t="s">
        <v>48</v>
      </c>
      <c r="J277">
        <v>-0.23999999999999977</v>
      </c>
      <c r="K277">
        <v>0</v>
      </c>
      <c r="L277">
        <f t="shared" si="8"/>
        <v>13</v>
      </c>
      <c r="M277">
        <f t="shared" si="9"/>
        <v>39</v>
      </c>
    </row>
    <row r="278" spans="1:13" hidden="1" x14ac:dyDescent="0.3">
      <c r="A278">
        <v>2</v>
      </c>
      <c r="B278" s="3">
        <v>43615.666666666664</v>
      </c>
      <c r="C278" t="s">
        <v>64</v>
      </c>
      <c r="D278">
        <v>5</v>
      </c>
      <c r="E278">
        <v>4</v>
      </c>
      <c r="F278">
        <v>-8.0000000000000071E-2</v>
      </c>
      <c r="H278">
        <v>119.20384969999999</v>
      </c>
      <c r="I278" t="s">
        <v>48</v>
      </c>
      <c r="J278">
        <v>-0.33000000000000007</v>
      </c>
      <c r="K278">
        <v>12</v>
      </c>
      <c r="L278">
        <f t="shared" si="8"/>
        <v>119</v>
      </c>
      <c r="M278">
        <f t="shared" si="9"/>
        <v>358</v>
      </c>
    </row>
    <row r="279" spans="1:13" hidden="1" x14ac:dyDescent="0.3">
      <c r="A279">
        <v>1</v>
      </c>
      <c r="B279" s="3">
        <v>43615.666666666664</v>
      </c>
      <c r="C279" t="s">
        <v>64</v>
      </c>
      <c r="D279">
        <v>5</v>
      </c>
      <c r="E279">
        <v>4</v>
      </c>
      <c r="F279">
        <v>-8.0000000000000071E-2</v>
      </c>
      <c r="H279">
        <v>334.64566979999995</v>
      </c>
      <c r="I279" t="s">
        <v>68</v>
      </c>
      <c r="J279">
        <v>6.999999999999984E-2</v>
      </c>
      <c r="K279">
        <v>0</v>
      </c>
      <c r="L279">
        <f t="shared" si="8"/>
        <v>335</v>
      </c>
      <c r="M279">
        <f t="shared" si="9"/>
        <v>1004</v>
      </c>
    </row>
    <row r="280" spans="1:13" hidden="1" x14ac:dyDescent="0.3">
      <c r="A280">
        <v>5</v>
      </c>
      <c r="B280" s="3">
        <v>43615.666666666664</v>
      </c>
      <c r="C280" t="s">
        <v>64</v>
      </c>
      <c r="D280">
        <v>4</v>
      </c>
      <c r="E280">
        <v>5</v>
      </c>
      <c r="F280">
        <v>-0.17999999999999972</v>
      </c>
      <c r="H280">
        <v>8.7489063999999992</v>
      </c>
      <c r="I280" t="s">
        <v>48</v>
      </c>
      <c r="J280">
        <v>1.0299999999999998</v>
      </c>
      <c r="K280">
        <v>0</v>
      </c>
      <c r="L280">
        <f t="shared" si="8"/>
        <v>9</v>
      </c>
      <c r="M280">
        <f t="shared" si="9"/>
        <v>26</v>
      </c>
    </row>
    <row r="281" spans="1:13" hidden="1" x14ac:dyDescent="0.3">
      <c r="A281">
        <v>4</v>
      </c>
      <c r="B281" s="3">
        <v>43615.666666666664</v>
      </c>
      <c r="C281" t="s">
        <v>64</v>
      </c>
      <c r="D281">
        <v>4</v>
      </c>
      <c r="E281">
        <v>5</v>
      </c>
      <c r="F281">
        <v>-0.17999999999999972</v>
      </c>
      <c r="H281">
        <v>19.685039399999997</v>
      </c>
      <c r="I281" t="s">
        <v>47</v>
      </c>
      <c r="J281">
        <v>-0.43999999999999995</v>
      </c>
      <c r="K281">
        <v>0</v>
      </c>
      <c r="L281">
        <f t="shared" si="8"/>
        <v>20</v>
      </c>
      <c r="M281">
        <f t="shared" si="9"/>
        <v>59</v>
      </c>
    </row>
    <row r="282" spans="1:13" hidden="1" x14ac:dyDescent="0.3">
      <c r="A282">
        <v>3</v>
      </c>
      <c r="B282" s="3">
        <v>43615.666666666664</v>
      </c>
      <c r="C282" t="s">
        <v>64</v>
      </c>
      <c r="D282">
        <v>4</v>
      </c>
      <c r="E282">
        <v>5</v>
      </c>
      <c r="F282">
        <v>-0.17999999999999972</v>
      </c>
      <c r="H282">
        <v>43.744531999999992</v>
      </c>
      <c r="I282" t="s">
        <v>47</v>
      </c>
      <c r="J282">
        <v>-0.81</v>
      </c>
      <c r="K282">
        <v>0</v>
      </c>
      <c r="L282">
        <f t="shared" si="8"/>
        <v>44</v>
      </c>
      <c r="M282">
        <f t="shared" si="9"/>
        <v>131</v>
      </c>
    </row>
    <row r="283" spans="1:13" hidden="1" x14ac:dyDescent="0.3">
      <c r="A283">
        <v>2</v>
      </c>
      <c r="B283" s="3">
        <v>43615.666666666664</v>
      </c>
      <c r="C283" t="s">
        <v>64</v>
      </c>
      <c r="D283">
        <v>4</v>
      </c>
      <c r="E283">
        <v>5</v>
      </c>
      <c r="F283">
        <v>-0.17999999999999972</v>
      </c>
      <c r="H283">
        <v>275.59055159999997</v>
      </c>
      <c r="I283" t="s">
        <v>48</v>
      </c>
      <c r="J283">
        <v>0</v>
      </c>
      <c r="K283">
        <v>0</v>
      </c>
      <c r="L283">
        <f t="shared" si="8"/>
        <v>276</v>
      </c>
      <c r="M283">
        <f t="shared" si="9"/>
        <v>827</v>
      </c>
    </row>
    <row r="284" spans="1:13" hidden="1" x14ac:dyDescent="0.3">
      <c r="A284">
        <v>1</v>
      </c>
      <c r="B284" s="3">
        <v>43615.666666666664</v>
      </c>
      <c r="C284" t="s">
        <v>64</v>
      </c>
      <c r="D284">
        <v>4</v>
      </c>
      <c r="E284">
        <v>5</v>
      </c>
      <c r="F284">
        <v>-0.17999999999999972</v>
      </c>
      <c r="H284">
        <v>577.42782239999997</v>
      </c>
      <c r="I284" t="s">
        <v>68</v>
      </c>
      <c r="J284">
        <v>4.000000000000048E-2</v>
      </c>
      <c r="K284">
        <v>0</v>
      </c>
      <c r="L284">
        <f t="shared" si="8"/>
        <v>577</v>
      </c>
      <c r="M284">
        <f t="shared" si="9"/>
        <v>1732</v>
      </c>
    </row>
    <row r="285" spans="1:13" x14ac:dyDescent="0.3">
      <c r="A285">
        <v>4</v>
      </c>
      <c r="B285" s="3">
        <v>43615.666666666664</v>
      </c>
      <c r="C285" t="s">
        <v>64</v>
      </c>
      <c r="D285">
        <v>3</v>
      </c>
      <c r="E285">
        <v>4</v>
      </c>
      <c r="F285">
        <v>-0.79</v>
      </c>
      <c r="H285">
        <v>0.33333333333333331</v>
      </c>
      <c r="I285" t="s">
        <v>50</v>
      </c>
      <c r="J285">
        <v>1.0000000000000009E-2</v>
      </c>
      <c r="K285">
        <v>0</v>
      </c>
      <c r="L285">
        <f t="shared" si="8"/>
        <v>0</v>
      </c>
      <c r="M285">
        <f t="shared" si="9"/>
        <v>1</v>
      </c>
    </row>
    <row r="286" spans="1:13" x14ac:dyDescent="0.3">
      <c r="A286">
        <v>3</v>
      </c>
      <c r="B286" s="3">
        <v>43615.666666666664</v>
      </c>
      <c r="C286" t="s">
        <v>64</v>
      </c>
      <c r="D286">
        <v>3</v>
      </c>
      <c r="E286">
        <v>4</v>
      </c>
      <c r="F286">
        <v>-0.79</v>
      </c>
      <c r="H286">
        <v>9.8425196999999987</v>
      </c>
      <c r="I286" t="s">
        <v>50</v>
      </c>
      <c r="J286">
        <v>-4.0000000000000036E-2</v>
      </c>
      <c r="K286" t="s">
        <v>115</v>
      </c>
      <c r="L286">
        <f t="shared" si="8"/>
        <v>10</v>
      </c>
      <c r="M286">
        <f t="shared" si="9"/>
        <v>30</v>
      </c>
    </row>
    <row r="287" spans="1:13" hidden="1" x14ac:dyDescent="0.3">
      <c r="A287">
        <v>2</v>
      </c>
      <c r="B287" s="3">
        <v>43615.666666666664</v>
      </c>
      <c r="C287" t="s">
        <v>64</v>
      </c>
      <c r="D287">
        <v>3</v>
      </c>
      <c r="E287">
        <v>4</v>
      </c>
      <c r="F287">
        <v>-0.79</v>
      </c>
      <c r="H287">
        <v>18.5914261</v>
      </c>
      <c r="I287" t="s">
        <v>48</v>
      </c>
      <c r="J287">
        <v>-0.57000000000000006</v>
      </c>
      <c r="K287">
        <v>0</v>
      </c>
      <c r="L287">
        <f t="shared" si="8"/>
        <v>19</v>
      </c>
      <c r="M287">
        <f t="shared" si="9"/>
        <v>56</v>
      </c>
    </row>
    <row r="288" spans="1:13" hidden="1" x14ac:dyDescent="0.3">
      <c r="A288">
        <v>1</v>
      </c>
      <c r="B288" s="3">
        <v>43615.666666666664</v>
      </c>
      <c r="C288" t="s">
        <v>64</v>
      </c>
      <c r="D288">
        <v>3</v>
      </c>
      <c r="E288">
        <v>4</v>
      </c>
      <c r="F288">
        <v>-0.79</v>
      </c>
      <c r="H288">
        <v>220.90988659999999</v>
      </c>
      <c r="I288" t="s">
        <v>68</v>
      </c>
      <c r="J288">
        <v>-0.18999999999999995</v>
      </c>
      <c r="K288">
        <v>17</v>
      </c>
      <c r="L288">
        <f t="shared" si="8"/>
        <v>221</v>
      </c>
      <c r="M288">
        <f t="shared" si="9"/>
        <v>663</v>
      </c>
    </row>
    <row r="289" spans="1:13" x14ac:dyDescent="0.3">
      <c r="A289">
        <v>4</v>
      </c>
      <c r="B289" s="3">
        <v>43615.666666666664</v>
      </c>
      <c r="C289" t="s">
        <v>64</v>
      </c>
      <c r="D289">
        <v>2</v>
      </c>
      <c r="E289">
        <v>4</v>
      </c>
      <c r="F289">
        <v>-0.18900000000000006</v>
      </c>
      <c r="H289">
        <v>0.33333333333333331</v>
      </c>
      <c r="I289" t="s">
        <v>50</v>
      </c>
      <c r="J289">
        <v>1.0000000000000009E-2</v>
      </c>
      <c r="K289">
        <v>0</v>
      </c>
      <c r="L289">
        <f t="shared" si="8"/>
        <v>0</v>
      </c>
      <c r="M289">
        <f t="shared" si="9"/>
        <v>1</v>
      </c>
    </row>
    <row r="290" spans="1:13" x14ac:dyDescent="0.3">
      <c r="A290">
        <v>3</v>
      </c>
      <c r="B290" s="3">
        <v>43615.666666666664</v>
      </c>
      <c r="C290" t="s">
        <v>64</v>
      </c>
      <c r="D290">
        <v>2</v>
      </c>
      <c r="E290">
        <v>4</v>
      </c>
      <c r="F290">
        <v>-0.18900000000000006</v>
      </c>
      <c r="H290">
        <v>2.1872265999999998</v>
      </c>
      <c r="I290" t="s">
        <v>50</v>
      </c>
      <c r="J290">
        <v>-0.66999999999999993</v>
      </c>
      <c r="K290" t="s">
        <v>115</v>
      </c>
      <c r="L290">
        <f t="shared" si="8"/>
        <v>2</v>
      </c>
      <c r="M290">
        <f t="shared" si="9"/>
        <v>7</v>
      </c>
    </row>
    <row r="291" spans="1:13" x14ac:dyDescent="0.3">
      <c r="A291">
        <v>2</v>
      </c>
      <c r="B291" s="3">
        <v>43615.666666666664</v>
      </c>
      <c r="C291" t="s">
        <v>64</v>
      </c>
      <c r="D291">
        <v>2</v>
      </c>
      <c r="E291">
        <v>4</v>
      </c>
      <c r="F291">
        <v>-0.18900000000000006</v>
      </c>
      <c r="H291">
        <v>9.8425196999999987</v>
      </c>
      <c r="I291" t="s">
        <v>50</v>
      </c>
      <c r="J291">
        <v>-0.37000000000000011</v>
      </c>
      <c r="K291" t="s">
        <v>114</v>
      </c>
      <c r="L291">
        <f t="shared" si="8"/>
        <v>10</v>
      </c>
      <c r="M291">
        <f t="shared" si="9"/>
        <v>30</v>
      </c>
    </row>
    <row r="292" spans="1:13" hidden="1" x14ac:dyDescent="0.3">
      <c r="A292">
        <v>1</v>
      </c>
      <c r="B292" s="3">
        <v>43615.666666666664</v>
      </c>
      <c r="C292" t="s">
        <v>64</v>
      </c>
      <c r="D292">
        <v>2</v>
      </c>
      <c r="E292">
        <v>4</v>
      </c>
      <c r="F292">
        <v>-0.18900000000000006</v>
      </c>
      <c r="H292">
        <v>300.74365749999998</v>
      </c>
      <c r="I292" t="s">
        <v>68</v>
      </c>
      <c r="J292">
        <v>0.84099999999999997</v>
      </c>
      <c r="K292">
        <v>0</v>
      </c>
      <c r="L292">
        <f t="shared" si="8"/>
        <v>301</v>
      </c>
      <c r="M292">
        <f t="shared" si="9"/>
        <v>902</v>
      </c>
    </row>
    <row r="293" spans="1:13" x14ac:dyDescent="0.3">
      <c r="A293">
        <v>4</v>
      </c>
      <c r="B293" s="3">
        <v>43615.666666666664</v>
      </c>
      <c r="C293" t="s">
        <v>64</v>
      </c>
      <c r="D293">
        <v>1</v>
      </c>
      <c r="E293">
        <v>4</v>
      </c>
      <c r="F293">
        <v>8.0000000000000071E-2</v>
      </c>
      <c r="H293">
        <v>1</v>
      </c>
      <c r="I293" t="s">
        <v>50</v>
      </c>
      <c r="J293">
        <v>4.0000000000000036E-2</v>
      </c>
      <c r="K293">
        <v>0</v>
      </c>
      <c r="L293">
        <f t="shared" si="8"/>
        <v>1</v>
      </c>
      <c r="M293">
        <f t="shared" si="9"/>
        <v>3</v>
      </c>
    </row>
    <row r="294" spans="1:13" x14ac:dyDescent="0.3">
      <c r="A294">
        <v>3</v>
      </c>
      <c r="B294" s="3">
        <v>43615.666666666664</v>
      </c>
      <c r="C294" t="s">
        <v>64</v>
      </c>
      <c r="D294">
        <v>1</v>
      </c>
      <c r="E294">
        <v>4</v>
      </c>
      <c r="F294">
        <v>8.0000000000000071E-2</v>
      </c>
      <c r="H294">
        <v>3.6666666666666665</v>
      </c>
      <c r="I294" t="s">
        <v>50</v>
      </c>
      <c r="J294">
        <v>-0.42999999999999994</v>
      </c>
      <c r="K294" t="s">
        <v>113</v>
      </c>
      <c r="L294">
        <f t="shared" si="8"/>
        <v>4</v>
      </c>
      <c r="M294">
        <f t="shared" si="9"/>
        <v>11</v>
      </c>
    </row>
    <row r="295" spans="1:13" hidden="1" x14ac:dyDescent="0.3">
      <c r="A295">
        <v>2</v>
      </c>
      <c r="B295" s="3">
        <v>43615.666666666664</v>
      </c>
      <c r="C295" t="s">
        <v>64</v>
      </c>
      <c r="D295">
        <v>1</v>
      </c>
      <c r="E295">
        <v>4</v>
      </c>
      <c r="F295">
        <v>8.0000000000000071E-2</v>
      </c>
      <c r="H295">
        <v>168.41644819999999</v>
      </c>
      <c r="I295" t="s">
        <v>48</v>
      </c>
      <c r="J295">
        <v>0.47</v>
      </c>
      <c r="K295">
        <v>3</v>
      </c>
      <c r="L295">
        <f t="shared" si="8"/>
        <v>168</v>
      </c>
      <c r="M295">
        <f t="shared" si="9"/>
        <v>505</v>
      </c>
    </row>
    <row r="296" spans="1:13" hidden="1" x14ac:dyDescent="0.3">
      <c r="A296">
        <v>1</v>
      </c>
      <c r="B296" s="3">
        <v>43615.666666666664</v>
      </c>
      <c r="C296" t="s">
        <v>64</v>
      </c>
      <c r="D296">
        <v>1</v>
      </c>
      <c r="E296">
        <v>4</v>
      </c>
      <c r="F296">
        <v>8.0000000000000071E-2</v>
      </c>
      <c r="H296">
        <v>419.94750719999996</v>
      </c>
      <c r="I296" t="s">
        <v>68</v>
      </c>
      <c r="J296">
        <v>0</v>
      </c>
      <c r="K296">
        <v>0</v>
      </c>
      <c r="L296">
        <f t="shared" si="8"/>
        <v>420</v>
      </c>
      <c r="M296">
        <f t="shared" si="9"/>
        <v>1260</v>
      </c>
    </row>
    <row r="297" spans="1:13" x14ac:dyDescent="0.3">
      <c r="A297">
        <v>5</v>
      </c>
      <c r="B297" s="3">
        <v>43610.5</v>
      </c>
      <c r="C297" t="s">
        <v>63</v>
      </c>
      <c r="D297">
        <v>18</v>
      </c>
      <c r="E297">
        <v>5</v>
      </c>
      <c r="F297">
        <v>-0.17999999999999972</v>
      </c>
      <c r="H297">
        <v>0.66666666666666663</v>
      </c>
      <c r="I297" t="s">
        <v>50</v>
      </c>
      <c r="J297">
        <v>1.0000000000000009E-2</v>
      </c>
      <c r="K297">
        <v>0</v>
      </c>
      <c r="L297">
        <f t="shared" si="8"/>
        <v>1</v>
      </c>
      <c r="M297">
        <f t="shared" si="9"/>
        <v>2</v>
      </c>
    </row>
    <row r="298" spans="1:13" x14ac:dyDescent="0.3">
      <c r="A298">
        <v>4</v>
      </c>
      <c r="B298" s="3">
        <v>43610.5</v>
      </c>
      <c r="C298" t="s">
        <v>63</v>
      </c>
      <c r="D298">
        <v>18</v>
      </c>
      <c r="E298">
        <v>5</v>
      </c>
      <c r="F298">
        <v>-0.17999999999999972</v>
      </c>
      <c r="H298">
        <v>8.7489063999999992</v>
      </c>
      <c r="I298" t="s">
        <v>50</v>
      </c>
      <c r="J298">
        <v>-7.0000000000000062E-2</v>
      </c>
      <c r="K298" t="s">
        <v>111</v>
      </c>
      <c r="L298">
        <f t="shared" si="8"/>
        <v>9</v>
      </c>
      <c r="M298">
        <f t="shared" si="9"/>
        <v>26</v>
      </c>
    </row>
    <row r="299" spans="1:13" hidden="1" x14ac:dyDescent="0.3">
      <c r="A299">
        <v>3</v>
      </c>
      <c r="B299" s="3">
        <v>43610.5</v>
      </c>
      <c r="C299" t="s">
        <v>63</v>
      </c>
      <c r="D299">
        <v>18</v>
      </c>
      <c r="E299">
        <v>5</v>
      </c>
      <c r="F299">
        <v>-0.17999999999999972</v>
      </c>
      <c r="H299">
        <v>40.463692099999996</v>
      </c>
      <c r="I299" t="s">
        <v>47</v>
      </c>
      <c r="J299">
        <v>-0.16000000000000014</v>
      </c>
      <c r="K299">
        <v>8</v>
      </c>
      <c r="L299">
        <f t="shared" si="8"/>
        <v>40</v>
      </c>
      <c r="M299">
        <f t="shared" si="9"/>
        <v>121</v>
      </c>
    </row>
    <row r="300" spans="1:13" hidden="1" x14ac:dyDescent="0.3">
      <c r="A300">
        <v>2</v>
      </c>
      <c r="B300" s="3">
        <v>43610.5</v>
      </c>
      <c r="C300" t="s">
        <v>63</v>
      </c>
      <c r="D300">
        <v>18</v>
      </c>
      <c r="E300">
        <v>5</v>
      </c>
      <c r="F300">
        <v>-0.17999999999999972</v>
      </c>
      <c r="H300">
        <v>258.09273879999995</v>
      </c>
      <c r="I300" t="s">
        <v>48</v>
      </c>
      <c r="J300">
        <v>-8.9999999999999858E-2</v>
      </c>
      <c r="K300">
        <v>36</v>
      </c>
      <c r="L300">
        <f t="shared" si="8"/>
        <v>258</v>
      </c>
      <c r="M300">
        <f t="shared" si="9"/>
        <v>774</v>
      </c>
    </row>
    <row r="301" spans="1:13" hidden="1" x14ac:dyDescent="0.3">
      <c r="A301">
        <v>1</v>
      </c>
      <c r="B301" s="3">
        <v>43610.5</v>
      </c>
      <c r="C301" t="s">
        <v>63</v>
      </c>
      <c r="D301">
        <v>18</v>
      </c>
      <c r="E301">
        <v>5</v>
      </c>
      <c r="F301">
        <v>-0.17999999999999972</v>
      </c>
      <c r="H301">
        <v>566.49168939999993</v>
      </c>
      <c r="I301" t="s">
        <v>68</v>
      </c>
      <c r="J301">
        <v>0.13000000000000034</v>
      </c>
      <c r="K301">
        <v>0</v>
      </c>
      <c r="L301">
        <f t="shared" si="8"/>
        <v>566</v>
      </c>
      <c r="M301">
        <f t="shared" si="9"/>
        <v>1699</v>
      </c>
    </row>
    <row r="302" spans="1:13" x14ac:dyDescent="0.3">
      <c r="A302">
        <v>3</v>
      </c>
      <c r="B302" s="3">
        <v>43610.5</v>
      </c>
      <c r="C302" t="s">
        <v>63</v>
      </c>
      <c r="D302">
        <v>17</v>
      </c>
      <c r="E302">
        <v>3</v>
      </c>
      <c r="F302">
        <v>8.4999999999999964E-2</v>
      </c>
      <c r="H302">
        <v>1.3333333333333333</v>
      </c>
      <c r="I302" t="s">
        <v>50</v>
      </c>
      <c r="J302">
        <v>0.12999999999999989</v>
      </c>
      <c r="K302">
        <v>0</v>
      </c>
      <c r="L302">
        <f t="shared" si="8"/>
        <v>1</v>
      </c>
      <c r="M302">
        <f t="shared" si="9"/>
        <v>4</v>
      </c>
    </row>
    <row r="303" spans="1:13" hidden="1" x14ac:dyDescent="0.3">
      <c r="A303">
        <v>2</v>
      </c>
      <c r="B303" s="3">
        <v>43610.5</v>
      </c>
      <c r="C303" t="s">
        <v>63</v>
      </c>
      <c r="D303">
        <v>17</v>
      </c>
      <c r="E303">
        <v>3</v>
      </c>
      <c r="F303">
        <v>8.4999999999999964E-2</v>
      </c>
      <c r="H303">
        <v>27.340332499999999</v>
      </c>
      <c r="I303" t="s">
        <v>47</v>
      </c>
      <c r="J303">
        <v>0.45999999999999996</v>
      </c>
      <c r="K303">
        <v>0</v>
      </c>
      <c r="L303">
        <f t="shared" si="8"/>
        <v>27</v>
      </c>
      <c r="M303">
        <f t="shared" si="9"/>
        <v>82</v>
      </c>
    </row>
    <row r="304" spans="1:13" hidden="1" x14ac:dyDescent="0.3">
      <c r="A304">
        <v>1</v>
      </c>
      <c r="B304" s="3">
        <v>43610.5</v>
      </c>
      <c r="C304" t="s">
        <v>63</v>
      </c>
      <c r="D304">
        <v>17</v>
      </c>
      <c r="E304">
        <v>3</v>
      </c>
      <c r="F304">
        <v>8.4999999999999964E-2</v>
      </c>
      <c r="H304">
        <v>174.97812799999997</v>
      </c>
      <c r="I304" t="s">
        <v>68</v>
      </c>
      <c r="J304">
        <v>-0.50499999999999989</v>
      </c>
      <c r="K304">
        <v>25</v>
      </c>
      <c r="L304">
        <f t="shared" si="8"/>
        <v>175</v>
      </c>
      <c r="M304">
        <f t="shared" si="9"/>
        <v>525</v>
      </c>
    </row>
    <row r="305" spans="1:13" x14ac:dyDescent="0.3">
      <c r="A305">
        <v>3</v>
      </c>
      <c r="B305" s="3">
        <v>43610.5</v>
      </c>
      <c r="C305" t="s">
        <v>63</v>
      </c>
      <c r="D305">
        <v>16</v>
      </c>
      <c r="E305">
        <v>3</v>
      </c>
      <c r="F305">
        <v>0.89000000000000012</v>
      </c>
      <c r="H305">
        <v>5.4680664999999991</v>
      </c>
      <c r="I305" t="s">
        <v>50</v>
      </c>
      <c r="J305">
        <v>0.79800000000000004</v>
      </c>
      <c r="K305">
        <v>0</v>
      </c>
      <c r="L305">
        <f t="shared" si="8"/>
        <v>5</v>
      </c>
      <c r="M305">
        <f t="shared" si="9"/>
        <v>16</v>
      </c>
    </row>
    <row r="306" spans="1:13" hidden="1" x14ac:dyDescent="0.3">
      <c r="A306">
        <v>2</v>
      </c>
      <c r="B306" s="3">
        <v>43610.5</v>
      </c>
      <c r="C306" t="s">
        <v>63</v>
      </c>
      <c r="D306">
        <v>16</v>
      </c>
      <c r="E306">
        <v>3</v>
      </c>
      <c r="F306">
        <v>0.89000000000000012</v>
      </c>
      <c r="H306">
        <v>34.995625599999997</v>
      </c>
      <c r="I306" t="s">
        <v>47</v>
      </c>
      <c r="J306">
        <v>-0.20800000000000018</v>
      </c>
      <c r="K306">
        <v>0</v>
      </c>
      <c r="L306">
        <f t="shared" si="8"/>
        <v>35</v>
      </c>
      <c r="M306">
        <f t="shared" si="9"/>
        <v>105</v>
      </c>
    </row>
    <row r="307" spans="1:13" hidden="1" x14ac:dyDescent="0.3">
      <c r="A307">
        <v>1</v>
      </c>
      <c r="B307" s="3">
        <v>43610.5</v>
      </c>
      <c r="C307" t="s">
        <v>63</v>
      </c>
      <c r="D307">
        <v>16</v>
      </c>
      <c r="E307">
        <v>3</v>
      </c>
      <c r="F307">
        <v>0.89000000000000012</v>
      </c>
      <c r="H307">
        <v>322.61592349999995</v>
      </c>
      <c r="I307" t="s">
        <v>68</v>
      </c>
      <c r="J307">
        <v>0.30000000000000027</v>
      </c>
      <c r="K307">
        <v>0</v>
      </c>
      <c r="L307">
        <f t="shared" si="8"/>
        <v>323</v>
      </c>
      <c r="M307">
        <f t="shared" si="9"/>
        <v>968</v>
      </c>
    </row>
    <row r="308" spans="1:13" x14ac:dyDescent="0.3">
      <c r="A308">
        <v>4</v>
      </c>
      <c r="B308" s="3">
        <v>43610.5</v>
      </c>
      <c r="C308" t="s">
        <v>63</v>
      </c>
      <c r="D308">
        <v>15</v>
      </c>
      <c r="E308">
        <v>4</v>
      </c>
      <c r="F308">
        <v>-6.0000000000000053E-2</v>
      </c>
      <c r="H308">
        <v>1</v>
      </c>
      <c r="I308" t="s">
        <v>50</v>
      </c>
      <c r="J308">
        <v>4.0000000000000036E-2</v>
      </c>
      <c r="K308">
        <v>0</v>
      </c>
      <c r="L308">
        <f t="shared" si="8"/>
        <v>1</v>
      </c>
      <c r="M308">
        <f t="shared" si="9"/>
        <v>3</v>
      </c>
    </row>
    <row r="309" spans="1:13" hidden="1" x14ac:dyDescent="0.3">
      <c r="A309">
        <v>3</v>
      </c>
      <c r="B309" s="3">
        <v>43610.5</v>
      </c>
      <c r="C309" t="s">
        <v>63</v>
      </c>
      <c r="D309">
        <v>15</v>
      </c>
      <c r="E309">
        <v>4</v>
      </c>
      <c r="F309">
        <v>-6.0000000000000053E-2</v>
      </c>
      <c r="H309">
        <v>15.310586199999999</v>
      </c>
      <c r="I309" t="s">
        <v>47</v>
      </c>
      <c r="J309">
        <v>0.43000000000000016</v>
      </c>
      <c r="K309">
        <v>0</v>
      </c>
      <c r="L309">
        <f t="shared" si="8"/>
        <v>15</v>
      </c>
      <c r="M309">
        <f t="shared" si="9"/>
        <v>46</v>
      </c>
    </row>
    <row r="310" spans="1:13" hidden="1" x14ac:dyDescent="0.3">
      <c r="A310">
        <v>2</v>
      </c>
      <c r="B310" s="3">
        <v>43610.5</v>
      </c>
      <c r="C310" t="s">
        <v>63</v>
      </c>
      <c r="D310">
        <v>15</v>
      </c>
      <c r="E310">
        <v>4</v>
      </c>
      <c r="F310">
        <v>-6.0000000000000053E-2</v>
      </c>
      <c r="H310">
        <v>118.11023639999999</v>
      </c>
      <c r="I310" t="s">
        <v>48</v>
      </c>
      <c r="J310">
        <v>-0.62000000000000011</v>
      </c>
      <c r="K310">
        <v>14</v>
      </c>
      <c r="L310">
        <f t="shared" si="8"/>
        <v>118</v>
      </c>
      <c r="M310">
        <f t="shared" si="9"/>
        <v>354</v>
      </c>
    </row>
    <row r="311" spans="1:13" hidden="1" x14ac:dyDescent="0.3">
      <c r="A311">
        <v>1</v>
      </c>
      <c r="B311" s="3">
        <v>43610.5</v>
      </c>
      <c r="C311" t="s">
        <v>63</v>
      </c>
      <c r="D311">
        <v>15</v>
      </c>
      <c r="E311">
        <v>4</v>
      </c>
      <c r="F311">
        <v>-6.0000000000000053E-2</v>
      </c>
      <c r="H311">
        <v>344.48818949999998</v>
      </c>
      <c r="I311" t="s">
        <v>68</v>
      </c>
      <c r="J311">
        <v>8.9999999999999858E-2</v>
      </c>
      <c r="K311">
        <v>0</v>
      </c>
      <c r="L311">
        <f t="shared" si="8"/>
        <v>344</v>
      </c>
      <c r="M311">
        <f t="shared" si="9"/>
        <v>1033</v>
      </c>
    </row>
    <row r="312" spans="1:13" x14ac:dyDescent="0.3">
      <c r="A312">
        <v>3</v>
      </c>
      <c r="B312" s="3">
        <v>43610.5</v>
      </c>
      <c r="C312" t="s">
        <v>63</v>
      </c>
      <c r="D312">
        <v>14</v>
      </c>
      <c r="E312">
        <v>3</v>
      </c>
      <c r="F312">
        <v>4.9999999999999822E-2</v>
      </c>
      <c r="H312">
        <v>1.6666666666666667</v>
      </c>
      <c r="I312" t="s">
        <v>50</v>
      </c>
      <c r="J312">
        <v>0.12999999999999989</v>
      </c>
      <c r="K312">
        <v>0</v>
      </c>
      <c r="L312">
        <f t="shared" si="8"/>
        <v>2</v>
      </c>
      <c r="M312">
        <f t="shared" si="9"/>
        <v>5</v>
      </c>
    </row>
    <row r="313" spans="1:13" hidden="1" x14ac:dyDescent="0.3">
      <c r="A313">
        <v>2</v>
      </c>
      <c r="B313" s="3">
        <v>43610.5</v>
      </c>
      <c r="C313" t="s">
        <v>63</v>
      </c>
      <c r="D313">
        <v>14</v>
      </c>
      <c r="E313">
        <v>3</v>
      </c>
      <c r="F313">
        <v>4.9999999999999822E-2</v>
      </c>
      <c r="H313">
        <v>21.872265999999996</v>
      </c>
      <c r="I313" t="s">
        <v>48</v>
      </c>
      <c r="J313">
        <v>0.27</v>
      </c>
      <c r="K313">
        <v>0</v>
      </c>
      <c r="L313">
        <f t="shared" si="8"/>
        <v>22</v>
      </c>
      <c r="M313">
        <f t="shared" si="9"/>
        <v>66</v>
      </c>
    </row>
    <row r="314" spans="1:13" hidden="1" x14ac:dyDescent="0.3">
      <c r="A314">
        <v>1</v>
      </c>
      <c r="B314" s="3">
        <v>43610.5</v>
      </c>
      <c r="C314" t="s">
        <v>63</v>
      </c>
      <c r="D314">
        <v>14</v>
      </c>
      <c r="E314">
        <v>3</v>
      </c>
      <c r="F314">
        <v>4.9999999999999822E-2</v>
      </c>
      <c r="H314">
        <v>170.60367479999999</v>
      </c>
      <c r="I314" t="s">
        <v>68</v>
      </c>
      <c r="J314">
        <v>-0.35000000000000009</v>
      </c>
      <c r="K314">
        <v>20</v>
      </c>
      <c r="L314">
        <f t="shared" si="8"/>
        <v>171</v>
      </c>
      <c r="M314">
        <f t="shared" si="9"/>
        <v>512</v>
      </c>
    </row>
    <row r="315" spans="1:13" x14ac:dyDescent="0.3">
      <c r="A315">
        <v>5</v>
      </c>
      <c r="B315" s="3">
        <v>43610.5</v>
      </c>
      <c r="C315" t="s">
        <v>63</v>
      </c>
      <c r="D315">
        <v>13</v>
      </c>
      <c r="E315">
        <v>5</v>
      </c>
      <c r="F315">
        <v>-0.91999999999999993</v>
      </c>
      <c r="H315">
        <v>0.33333333333333331</v>
      </c>
      <c r="I315" t="s">
        <v>50</v>
      </c>
      <c r="J315">
        <v>1.0000000000000009E-2</v>
      </c>
      <c r="K315">
        <v>0</v>
      </c>
      <c r="L315">
        <f t="shared" si="8"/>
        <v>0</v>
      </c>
      <c r="M315">
        <f t="shared" si="9"/>
        <v>1</v>
      </c>
    </row>
    <row r="316" spans="1:13" x14ac:dyDescent="0.3">
      <c r="A316">
        <v>4</v>
      </c>
      <c r="B316" s="3">
        <v>43610.5</v>
      </c>
      <c r="C316" t="s">
        <v>63</v>
      </c>
      <c r="D316">
        <v>13</v>
      </c>
      <c r="E316">
        <v>5</v>
      </c>
      <c r="F316">
        <v>-0.91999999999999993</v>
      </c>
      <c r="H316">
        <v>2.6666666666666665</v>
      </c>
      <c r="I316" t="s">
        <v>50</v>
      </c>
      <c r="J316">
        <v>-0.59000000000000008</v>
      </c>
      <c r="K316" t="s">
        <v>114</v>
      </c>
      <c r="L316">
        <f t="shared" si="8"/>
        <v>3</v>
      </c>
      <c r="M316">
        <f t="shared" si="9"/>
        <v>8</v>
      </c>
    </row>
    <row r="317" spans="1:13" hidden="1" x14ac:dyDescent="0.3">
      <c r="A317">
        <v>3</v>
      </c>
      <c r="B317" s="3">
        <v>43610.5</v>
      </c>
      <c r="C317" t="s">
        <v>63</v>
      </c>
      <c r="D317">
        <v>13</v>
      </c>
      <c r="E317">
        <v>5</v>
      </c>
      <c r="F317">
        <v>-0.91999999999999993</v>
      </c>
      <c r="H317">
        <v>13.123359599999999</v>
      </c>
      <c r="I317" t="s">
        <v>47</v>
      </c>
      <c r="J317">
        <v>-8.0000000000000071E-2</v>
      </c>
      <c r="K317">
        <v>0</v>
      </c>
      <c r="L317">
        <f t="shared" si="8"/>
        <v>13</v>
      </c>
      <c r="M317">
        <f t="shared" si="9"/>
        <v>39</v>
      </c>
    </row>
    <row r="318" spans="1:13" hidden="1" x14ac:dyDescent="0.3">
      <c r="A318">
        <v>2</v>
      </c>
      <c r="B318" s="3">
        <v>43610.5</v>
      </c>
      <c r="C318" t="s">
        <v>63</v>
      </c>
      <c r="D318">
        <v>13</v>
      </c>
      <c r="E318">
        <v>5</v>
      </c>
      <c r="F318">
        <v>-0.91999999999999993</v>
      </c>
      <c r="H318">
        <v>181.53980779999998</v>
      </c>
      <c r="I318" t="s">
        <v>48</v>
      </c>
      <c r="J318">
        <v>-0.25999999999999979</v>
      </c>
      <c r="K318">
        <v>12</v>
      </c>
      <c r="L318">
        <f t="shared" si="8"/>
        <v>182</v>
      </c>
      <c r="M318">
        <f t="shared" si="9"/>
        <v>545</v>
      </c>
    </row>
    <row r="319" spans="1:13" hidden="1" x14ac:dyDescent="0.3">
      <c r="A319">
        <v>1</v>
      </c>
      <c r="B319" s="3">
        <v>43610.5</v>
      </c>
      <c r="C319" t="s">
        <v>63</v>
      </c>
      <c r="D319">
        <v>13</v>
      </c>
      <c r="E319">
        <v>5</v>
      </c>
      <c r="F319">
        <v>-0.91999999999999993</v>
      </c>
      <c r="H319">
        <v>402.44969439999994</v>
      </c>
      <c r="I319" t="s">
        <v>68</v>
      </c>
      <c r="J319">
        <v>0</v>
      </c>
      <c r="K319">
        <v>0</v>
      </c>
      <c r="L319">
        <f t="shared" si="8"/>
        <v>402</v>
      </c>
      <c r="M319">
        <f t="shared" si="9"/>
        <v>1207</v>
      </c>
    </row>
    <row r="320" spans="1:13" x14ac:dyDescent="0.3">
      <c r="A320">
        <v>7</v>
      </c>
      <c r="B320" s="3">
        <v>43610.5</v>
      </c>
      <c r="C320" t="s">
        <v>63</v>
      </c>
      <c r="D320">
        <v>12</v>
      </c>
      <c r="E320">
        <v>7</v>
      </c>
      <c r="F320">
        <v>-2.1799999999999997</v>
      </c>
      <c r="H320">
        <v>1.3333333333333333</v>
      </c>
      <c r="I320" t="s">
        <v>50</v>
      </c>
      <c r="J320">
        <v>0.12999999999999989</v>
      </c>
      <c r="K320">
        <v>0</v>
      </c>
      <c r="L320">
        <f t="shared" si="8"/>
        <v>1</v>
      </c>
      <c r="M320">
        <f t="shared" si="9"/>
        <v>4</v>
      </c>
    </row>
    <row r="321" spans="1:13" x14ac:dyDescent="0.3">
      <c r="A321">
        <v>6</v>
      </c>
      <c r="B321" s="3">
        <v>43610.5</v>
      </c>
      <c r="C321" t="s">
        <v>63</v>
      </c>
      <c r="D321">
        <v>12</v>
      </c>
      <c r="E321">
        <v>7</v>
      </c>
      <c r="F321">
        <v>-2.1799999999999997</v>
      </c>
      <c r="H321">
        <v>6.5616797999999994</v>
      </c>
      <c r="I321" t="s">
        <v>50</v>
      </c>
      <c r="J321">
        <v>-0.2779999999999998</v>
      </c>
      <c r="K321" t="s">
        <v>111</v>
      </c>
      <c r="L321">
        <f t="shared" si="8"/>
        <v>7</v>
      </c>
      <c r="M321">
        <f t="shared" si="9"/>
        <v>20</v>
      </c>
    </row>
    <row r="322" spans="1:13" hidden="1" x14ac:dyDescent="0.3">
      <c r="A322">
        <v>5</v>
      </c>
      <c r="B322" s="3">
        <v>43610.5</v>
      </c>
      <c r="C322" t="s">
        <v>63</v>
      </c>
      <c r="D322">
        <v>12</v>
      </c>
      <c r="E322">
        <v>7</v>
      </c>
      <c r="F322">
        <v>-2.1799999999999997</v>
      </c>
      <c r="H322">
        <v>76.552930999999987</v>
      </c>
      <c r="I322" t="s">
        <v>48</v>
      </c>
      <c r="J322">
        <v>-0.10200000000000009</v>
      </c>
      <c r="K322">
        <v>6</v>
      </c>
      <c r="L322">
        <f t="shared" ref="L322:L385" si="10">ROUND(H322,0)</f>
        <v>77</v>
      </c>
      <c r="M322">
        <f t="shared" ref="M322:M385" si="11">ROUND(H322*3,0)</f>
        <v>230</v>
      </c>
    </row>
    <row r="323" spans="1:13" hidden="1" x14ac:dyDescent="0.3">
      <c r="A323">
        <v>4</v>
      </c>
      <c r="B323" s="3">
        <v>43610.5</v>
      </c>
      <c r="C323" t="s">
        <v>63</v>
      </c>
      <c r="D323">
        <v>12</v>
      </c>
      <c r="E323">
        <v>7</v>
      </c>
      <c r="F323">
        <v>-2.1799999999999997</v>
      </c>
      <c r="H323">
        <v>328.08398999999997</v>
      </c>
      <c r="I323" t="s">
        <v>47</v>
      </c>
      <c r="J323">
        <v>0.26999999999999957</v>
      </c>
      <c r="K323">
        <v>0</v>
      </c>
      <c r="L323">
        <f t="shared" si="10"/>
        <v>328</v>
      </c>
      <c r="M323">
        <f t="shared" si="11"/>
        <v>984</v>
      </c>
    </row>
    <row r="324" spans="1:13" hidden="1" x14ac:dyDescent="0.3">
      <c r="A324">
        <v>3</v>
      </c>
      <c r="B324" s="3">
        <v>43610.5</v>
      </c>
      <c r="C324" t="s">
        <v>63</v>
      </c>
      <c r="D324">
        <v>12</v>
      </c>
      <c r="E324">
        <v>7</v>
      </c>
      <c r="F324">
        <v>-2.1799999999999997</v>
      </c>
      <c r="H324">
        <v>328.08398999999997</v>
      </c>
      <c r="I324" t="s">
        <v>60</v>
      </c>
      <c r="J324">
        <v>-0.57999999999999918</v>
      </c>
      <c r="K324">
        <v>0</v>
      </c>
      <c r="L324">
        <f t="shared" si="10"/>
        <v>328</v>
      </c>
      <c r="M324">
        <f t="shared" si="11"/>
        <v>984</v>
      </c>
    </row>
    <row r="325" spans="1:13" hidden="1" x14ac:dyDescent="0.3">
      <c r="A325">
        <v>2</v>
      </c>
      <c r="B325" s="3">
        <v>43610.5</v>
      </c>
      <c r="C325" t="s">
        <v>63</v>
      </c>
      <c r="D325">
        <v>12</v>
      </c>
      <c r="E325">
        <v>7</v>
      </c>
      <c r="F325">
        <v>-2.1799999999999997</v>
      </c>
      <c r="H325">
        <v>328.08398999999997</v>
      </c>
      <c r="I325" t="s">
        <v>60</v>
      </c>
      <c r="J325">
        <v>-1</v>
      </c>
      <c r="K325">
        <v>0</v>
      </c>
      <c r="L325">
        <f t="shared" si="10"/>
        <v>328</v>
      </c>
      <c r="M325">
        <f t="shared" si="11"/>
        <v>984</v>
      </c>
    </row>
    <row r="326" spans="1:13" hidden="1" x14ac:dyDescent="0.3">
      <c r="A326">
        <v>1</v>
      </c>
      <c r="B326" s="3">
        <v>43610.5</v>
      </c>
      <c r="C326" t="s">
        <v>63</v>
      </c>
      <c r="D326">
        <v>12</v>
      </c>
      <c r="E326">
        <v>7</v>
      </c>
      <c r="F326">
        <v>-2.1799999999999997</v>
      </c>
      <c r="H326">
        <v>575.24059579999994</v>
      </c>
      <c r="I326" t="s">
        <v>68</v>
      </c>
      <c r="J326">
        <v>-0.62000000000000011</v>
      </c>
      <c r="K326">
        <v>0</v>
      </c>
      <c r="L326">
        <f t="shared" si="10"/>
        <v>575</v>
      </c>
      <c r="M326">
        <f t="shared" si="11"/>
        <v>1726</v>
      </c>
    </row>
    <row r="327" spans="1:13" x14ac:dyDescent="0.3">
      <c r="A327">
        <v>4</v>
      </c>
      <c r="B327" s="3">
        <v>43610.5</v>
      </c>
      <c r="C327" t="s">
        <v>63</v>
      </c>
      <c r="D327">
        <v>11</v>
      </c>
      <c r="E327">
        <v>4</v>
      </c>
      <c r="F327">
        <v>-6.0000000000000053E-2</v>
      </c>
      <c r="H327">
        <v>0.33333333333333331</v>
      </c>
      <c r="I327" t="s">
        <v>50</v>
      </c>
      <c r="J327">
        <v>1.0000000000000009E-2</v>
      </c>
      <c r="K327">
        <v>0</v>
      </c>
      <c r="L327">
        <f t="shared" si="10"/>
        <v>0</v>
      </c>
      <c r="M327">
        <f t="shared" si="11"/>
        <v>1</v>
      </c>
    </row>
    <row r="328" spans="1:13" x14ac:dyDescent="0.3">
      <c r="A328">
        <v>3</v>
      </c>
      <c r="B328" s="3">
        <v>43610.5</v>
      </c>
      <c r="C328" t="s">
        <v>63</v>
      </c>
      <c r="D328">
        <v>11</v>
      </c>
      <c r="E328">
        <v>4</v>
      </c>
      <c r="F328">
        <v>-6.0000000000000053E-2</v>
      </c>
      <c r="H328">
        <v>4.3744531999999996</v>
      </c>
      <c r="I328" t="s">
        <v>50</v>
      </c>
      <c r="J328">
        <v>-0.29800000000000004</v>
      </c>
      <c r="K328" t="s">
        <v>113</v>
      </c>
      <c r="L328">
        <f t="shared" si="10"/>
        <v>4</v>
      </c>
      <c r="M328">
        <f t="shared" si="11"/>
        <v>13</v>
      </c>
    </row>
    <row r="329" spans="1:13" hidden="1" x14ac:dyDescent="0.3">
      <c r="A329">
        <v>2</v>
      </c>
      <c r="B329" s="3">
        <v>43610.5</v>
      </c>
      <c r="C329" t="s">
        <v>63</v>
      </c>
      <c r="D329">
        <v>11</v>
      </c>
      <c r="E329">
        <v>4</v>
      </c>
      <c r="F329">
        <v>-6.0000000000000053E-2</v>
      </c>
      <c r="H329">
        <v>113.73578319999999</v>
      </c>
      <c r="I329" t="s">
        <v>48</v>
      </c>
      <c r="J329">
        <v>0.13800000000000012</v>
      </c>
      <c r="K329">
        <v>4</v>
      </c>
      <c r="L329">
        <f t="shared" si="10"/>
        <v>114</v>
      </c>
      <c r="M329">
        <f t="shared" si="11"/>
        <v>341</v>
      </c>
    </row>
    <row r="330" spans="1:13" hidden="1" x14ac:dyDescent="0.3">
      <c r="A330">
        <v>1</v>
      </c>
      <c r="B330" s="3">
        <v>43610.5</v>
      </c>
      <c r="C330" t="s">
        <v>63</v>
      </c>
      <c r="D330">
        <v>11</v>
      </c>
      <c r="E330">
        <v>4</v>
      </c>
      <c r="F330">
        <v>-6.0000000000000053E-2</v>
      </c>
      <c r="H330">
        <v>352.14348259999997</v>
      </c>
      <c r="I330" t="s">
        <v>68</v>
      </c>
      <c r="J330">
        <v>8.9999999999999858E-2</v>
      </c>
      <c r="K330">
        <v>0</v>
      </c>
      <c r="L330">
        <f t="shared" si="10"/>
        <v>352</v>
      </c>
      <c r="M330">
        <f t="shared" si="11"/>
        <v>1056</v>
      </c>
    </row>
    <row r="331" spans="1:13" x14ac:dyDescent="0.3">
      <c r="A331">
        <v>4</v>
      </c>
      <c r="B331" s="3">
        <v>43610.5</v>
      </c>
      <c r="C331" t="s">
        <v>63</v>
      </c>
      <c r="D331">
        <v>10</v>
      </c>
      <c r="E331">
        <v>4</v>
      </c>
      <c r="F331">
        <v>0.22499999999999964</v>
      </c>
      <c r="H331">
        <v>2.3333333333333335</v>
      </c>
      <c r="I331" t="s">
        <v>50</v>
      </c>
      <c r="J331">
        <v>0.41999999999999993</v>
      </c>
      <c r="K331">
        <v>0</v>
      </c>
      <c r="L331">
        <f t="shared" si="10"/>
        <v>2</v>
      </c>
      <c r="M331">
        <f t="shared" si="11"/>
        <v>7</v>
      </c>
    </row>
    <row r="332" spans="1:13" x14ac:dyDescent="0.3">
      <c r="A332">
        <v>3</v>
      </c>
      <c r="B332" s="3">
        <v>43610.5</v>
      </c>
      <c r="C332" t="s">
        <v>63</v>
      </c>
      <c r="D332">
        <v>10</v>
      </c>
      <c r="E332">
        <v>4</v>
      </c>
      <c r="F332">
        <v>0.22499999999999964</v>
      </c>
      <c r="H332">
        <v>17.497812799999998</v>
      </c>
      <c r="I332" t="s">
        <v>50</v>
      </c>
      <c r="J332">
        <v>-0.26799999999999979</v>
      </c>
      <c r="K332" t="s">
        <v>113</v>
      </c>
      <c r="L332">
        <f t="shared" si="10"/>
        <v>17</v>
      </c>
      <c r="M332">
        <f t="shared" si="11"/>
        <v>52</v>
      </c>
    </row>
    <row r="333" spans="1:13" hidden="1" x14ac:dyDescent="0.3">
      <c r="A333">
        <v>2</v>
      </c>
      <c r="B333" s="3">
        <v>43610.5</v>
      </c>
      <c r="C333" t="s">
        <v>63</v>
      </c>
      <c r="D333">
        <v>10</v>
      </c>
      <c r="E333">
        <v>4</v>
      </c>
      <c r="F333">
        <v>0.22499999999999964</v>
      </c>
      <c r="H333">
        <v>174.97812799999997</v>
      </c>
      <c r="I333" t="s">
        <v>48</v>
      </c>
      <c r="J333">
        <v>-7.2000000000000064E-2</v>
      </c>
      <c r="K333">
        <v>16</v>
      </c>
      <c r="L333">
        <f t="shared" si="10"/>
        <v>175</v>
      </c>
      <c r="M333">
        <f t="shared" si="11"/>
        <v>525</v>
      </c>
    </row>
    <row r="334" spans="1:13" hidden="1" x14ac:dyDescent="0.3">
      <c r="A334">
        <v>1</v>
      </c>
      <c r="B334" s="3">
        <v>43610.5</v>
      </c>
      <c r="C334" t="s">
        <v>63</v>
      </c>
      <c r="D334">
        <v>10</v>
      </c>
      <c r="E334">
        <v>4</v>
      </c>
      <c r="F334">
        <v>0.22499999999999964</v>
      </c>
      <c r="H334">
        <v>438.53893329999994</v>
      </c>
      <c r="I334" t="s">
        <v>68</v>
      </c>
      <c r="J334">
        <v>0.14499999999999957</v>
      </c>
      <c r="K334">
        <v>0</v>
      </c>
      <c r="L334">
        <f t="shared" si="10"/>
        <v>439</v>
      </c>
      <c r="M334">
        <f t="shared" si="11"/>
        <v>1316</v>
      </c>
    </row>
    <row r="335" spans="1:13" x14ac:dyDescent="0.3">
      <c r="A335">
        <v>6</v>
      </c>
      <c r="B335" s="3">
        <v>43610.5</v>
      </c>
      <c r="C335" t="s">
        <v>63</v>
      </c>
      <c r="D335">
        <v>9</v>
      </c>
      <c r="E335">
        <v>6</v>
      </c>
      <c r="F335">
        <v>-1.21</v>
      </c>
      <c r="H335">
        <v>0.33333333333333331</v>
      </c>
      <c r="I335" t="s">
        <v>50</v>
      </c>
      <c r="J335">
        <v>1.0000000000000009E-2</v>
      </c>
      <c r="K335">
        <v>0</v>
      </c>
      <c r="L335">
        <f t="shared" si="10"/>
        <v>0</v>
      </c>
      <c r="M335">
        <f t="shared" si="11"/>
        <v>1</v>
      </c>
    </row>
    <row r="336" spans="1:13" x14ac:dyDescent="0.3">
      <c r="A336">
        <v>5</v>
      </c>
      <c r="B336" s="3">
        <v>43610.5</v>
      </c>
      <c r="C336" t="s">
        <v>63</v>
      </c>
      <c r="D336">
        <v>9</v>
      </c>
      <c r="E336">
        <v>6</v>
      </c>
      <c r="F336">
        <v>-1.21</v>
      </c>
      <c r="H336">
        <v>6.5616797999999994</v>
      </c>
      <c r="I336" t="s">
        <v>50</v>
      </c>
      <c r="J336">
        <v>-0.15799999999999992</v>
      </c>
      <c r="K336" t="s">
        <v>113</v>
      </c>
      <c r="L336">
        <f t="shared" si="10"/>
        <v>7</v>
      </c>
      <c r="M336">
        <f t="shared" si="11"/>
        <v>20</v>
      </c>
    </row>
    <row r="337" spans="1:13" hidden="1" x14ac:dyDescent="0.3">
      <c r="A337">
        <v>4</v>
      </c>
      <c r="B337" s="3">
        <v>43610.5</v>
      </c>
      <c r="C337" t="s">
        <v>63</v>
      </c>
      <c r="D337">
        <v>9</v>
      </c>
      <c r="E337">
        <v>6</v>
      </c>
      <c r="F337">
        <v>-1.21</v>
      </c>
      <c r="H337">
        <v>54.680664999999998</v>
      </c>
      <c r="I337" t="s">
        <v>47</v>
      </c>
      <c r="J337">
        <v>-7.2000000000000286E-2</v>
      </c>
      <c r="K337">
        <v>6</v>
      </c>
      <c r="L337">
        <f t="shared" si="10"/>
        <v>55</v>
      </c>
      <c r="M337">
        <f t="shared" si="11"/>
        <v>164</v>
      </c>
    </row>
    <row r="338" spans="1:13" hidden="1" x14ac:dyDescent="0.3">
      <c r="A338">
        <v>2</v>
      </c>
      <c r="B338" s="3">
        <v>43610.5</v>
      </c>
      <c r="C338" t="s">
        <v>63</v>
      </c>
      <c r="D338">
        <v>9</v>
      </c>
      <c r="E338">
        <v>6</v>
      </c>
      <c r="F338">
        <v>-1.21</v>
      </c>
      <c r="H338">
        <v>284.33945799999998</v>
      </c>
      <c r="I338" t="s">
        <v>60</v>
      </c>
      <c r="J338">
        <v>-0.63999999999999968</v>
      </c>
      <c r="K338">
        <v>0</v>
      </c>
      <c r="L338">
        <f t="shared" si="10"/>
        <v>284</v>
      </c>
      <c r="M338">
        <f t="shared" si="11"/>
        <v>853</v>
      </c>
    </row>
    <row r="339" spans="1:13" hidden="1" x14ac:dyDescent="0.3">
      <c r="A339">
        <v>3</v>
      </c>
      <c r="B339" s="3">
        <v>43610.5</v>
      </c>
      <c r="C339" t="s">
        <v>63</v>
      </c>
      <c r="D339">
        <v>9</v>
      </c>
      <c r="E339">
        <v>6</v>
      </c>
      <c r="F339">
        <v>-1.21</v>
      </c>
      <c r="H339">
        <v>295.27559099999996</v>
      </c>
      <c r="I339" t="s">
        <v>48</v>
      </c>
      <c r="J339">
        <v>6.0000000000000053E-2</v>
      </c>
      <c r="K339">
        <v>0</v>
      </c>
      <c r="L339">
        <f t="shared" si="10"/>
        <v>295</v>
      </c>
      <c r="M339">
        <f t="shared" si="11"/>
        <v>886</v>
      </c>
    </row>
    <row r="340" spans="1:13" hidden="1" x14ac:dyDescent="0.3">
      <c r="A340">
        <v>1</v>
      </c>
      <c r="B340" s="3">
        <v>43610.5</v>
      </c>
      <c r="C340" t="s">
        <v>63</v>
      </c>
      <c r="D340">
        <v>9</v>
      </c>
      <c r="E340">
        <v>6</v>
      </c>
      <c r="F340">
        <v>-1.21</v>
      </c>
      <c r="H340">
        <v>542.43219679999993</v>
      </c>
      <c r="I340" t="s">
        <v>68</v>
      </c>
      <c r="J340">
        <v>-0.41000000000000014</v>
      </c>
      <c r="K340">
        <v>0</v>
      </c>
      <c r="L340">
        <f t="shared" si="10"/>
        <v>542</v>
      </c>
      <c r="M340">
        <f t="shared" si="11"/>
        <v>1627</v>
      </c>
    </row>
    <row r="341" spans="1:13" x14ac:dyDescent="0.3">
      <c r="A341">
        <v>3</v>
      </c>
      <c r="B341" s="3">
        <v>43610.5</v>
      </c>
      <c r="C341" t="s">
        <v>63</v>
      </c>
      <c r="D341">
        <v>8</v>
      </c>
      <c r="E341">
        <v>3</v>
      </c>
      <c r="F341">
        <v>-9.9999999999997868E-3</v>
      </c>
      <c r="H341">
        <v>0.33333333333333331</v>
      </c>
      <c r="I341" t="s">
        <v>50</v>
      </c>
      <c r="J341">
        <v>1.0000000000000009E-2</v>
      </c>
      <c r="K341">
        <v>0</v>
      </c>
      <c r="L341">
        <f t="shared" si="10"/>
        <v>0</v>
      </c>
      <c r="M341">
        <f t="shared" si="11"/>
        <v>1</v>
      </c>
    </row>
    <row r="342" spans="1:13" x14ac:dyDescent="0.3">
      <c r="A342">
        <v>2</v>
      </c>
      <c r="B342" s="3">
        <v>43610.5</v>
      </c>
      <c r="C342" t="s">
        <v>63</v>
      </c>
      <c r="D342">
        <v>8</v>
      </c>
      <c r="E342">
        <v>3</v>
      </c>
      <c r="F342">
        <v>-9.9999999999997868E-3</v>
      </c>
      <c r="H342">
        <v>6.5616797999999994</v>
      </c>
      <c r="I342" t="s">
        <v>50</v>
      </c>
      <c r="J342">
        <v>-0.15799999999999992</v>
      </c>
      <c r="K342" t="s">
        <v>111</v>
      </c>
      <c r="L342">
        <f t="shared" si="10"/>
        <v>7</v>
      </c>
      <c r="M342">
        <f t="shared" si="11"/>
        <v>20</v>
      </c>
    </row>
    <row r="343" spans="1:13" hidden="1" x14ac:dyDescent="0.3">
      <c r="A343">
        <v>1</v>
      </c>
      <c r="B343" s="3">
        <v>43610.5</v>
      </c>
      <c r="C343" t="s">
        <v>63</v>
      </c>
      <c r="D343">
        <v>8</v>
      </c>
      <c r="E343">
        <v>3</v>
      </c>
      <c r="F343">
        <v>-9.9999999999997868E-3</v>
      </c>
      <c r="H343">
        <v>153.10586199999997</v>
      </c>
      <c r="I343" t="s">
        <v>68</v>
      </c>
      <c r="J343">
        <v>0.13800000000000012</v>
      </c>
      <c r="K343">
        <v>0</v>
      </c>
      <c r="L343">
        <f t="shared" si="10"/>
        <v>153</v>
      </c>
      <c r="M343">
        <f t="shared" si="11"/>
        <v>459</v>
      </c>
    </row>
    <row r="344" spans="1:13" x14ac:dyDescent="0.3">
      <c r="A344">
        <v>4</v>
      </c>
      <c r="B344" s="3">
        <v>43610.5</v>
      </c>
      <c r="C344" t="s">
        <v>63</v>
      </c>
      <c r="D344">
        <v>7</v>
      </c>
      <c r="E344">
        <v>4</v>
      </c>
      <c r="F344">
        <v>8.0000000000000071E-2</v>
      </c>
      <c r="H344">
        <v>1</v>
      </c>
      <c r="I344" t="s">
        <v>50</v>
      </c>
      <c r="J344">
        <v>4.0000000000000036E-2</v>
      </c>
      <c r="K344">
        <v>0</v>
      </c>
      <c r="L344">
        <f t="shared" si="10"/>
        <v>1</v>
      </c>
      <c r="M344">
        <f t="shared" si="11"/>
        <v>3</v>
      </c>
    </row>
    <row r="345" spans="1:13" x14ac:dyDescent="0.3">
      <c r="A345">
        <v>3</v>
      </c>
      <c r="B345" s="3">
        <v>43610.5</v>
      </c>
      <c r="C345" t="s">
        <v>63</v>
      </c>
      <c r="D345">
        <v>7</v>
      </c>
      <c r="E345">
        <v>4</v>
      </c>
      <c r="F345">
        <v>8.0000000000000071E-2</v>
      </c>
      <c r="H345">
        <v>10.936132999999998</v>
      </c>
      <c r="I345" t="s">
        <v>50</v>
      </c>
      <c r="J345">
        <v>-4.4000000000000039E-2</v>
      </c>
      <c r="K345" t="s">
        <v>113</v>
      </c>
      <c r="L345">
        <f t="shared" si="10"/>
        <v>11</v>
      </c>
      <c r="M345">
        <f t="shared" si="11"/>
        <v>33</v>
      </c>
    </row>
    <row r="346" spans="1:13" hidden="1" x14ac:dyDescent="0.3">
      <c r="A346">
        <v>2</v>
      </c>
      <c r="B346" s="3">
        <v>43610.5</v>
      </c>
      <c r="C346" t="s">
        <v>63</v>
      </c>
      <c r="D346">
        <v>7</v>
      </c>
      <c r="E346">
        <v>4</v>
      </c>
      <c r="F346">
        <v>8.0000000000000071E-2</v>
      </c>
      <c r="H346">
        <v>124.67191619999998</v>
      </c>
      <c r="I346" t="s">
        <v>48</v>
      </c>
      <c r="J346">
        <v>-0.14599999999999991</v>
      </c>
      <c r="K346">
        <v>10</v>
      </c>
      <c r="L346">
        <f t="shared" si="10"/>
        <v>125</v>
      </c>
      <c r="M346">
        <f t="shared" si="11"/>
        <v>374</v>
      </c>
    </row>
    <row r="347" spans="1:13" hidden="1" x14ac:dyDescent="0.3">
      <c r="A347">
        <v>1</v>
      </c>
      <c r="B347" s="3">
        <v>43610.5</v>
      </c>
      <c r="C347" t="s">
        <v>63</v>
      </c>
      <c r="D347">
        <v>7</v>
      </c>
      <c r="E347">
        <v>4</v>
      </c>
      <c r="F347">
        <v>8.0000000000000071E-2</v>
      </c>
      <c r="H347">
        <v>410.10498749999994</v>
      </c>
      <c r="I347" t="s">
        <v>68</v>
      </c>
      <c r="J347">
        <v>0.22999999999999998</v>
      </c>
      <c r="K347">
        <v>0</v>
      </c>
      <c r="L347">
        <f t="shared" si="10"/>
        <v>410</v>
      </c>
      <c r="M347">
        <f t="shared" si="11"/>
        <v>1230</v>
      </c>
    </row>
    <row r="348" spans="1:13" x14ac:dyDescent="0.3">
      <c r="A348">
        <v>5</v>
      </c>
      <c r="B348" s="3">
        <v>43610.5</v>
      </c>
      <c r="C348" t="s">
        <v>63</v>
      </c>
      <c r="D348">
        <v>6</v>
      </c>
      <c r="E348">
        <v>5</v>
      </c>
      <c r="F348">
        <v>-0.99500000000000011</v>
      </c>
      <c r="H348">
        <v>0.66666666666666663</v>
      </c>
      <c r="I348" t="s">
        <v>50</v>
      </c>
      <c r="J348">
        <v>1.0000000000000009E-2</v>
      </c>
      <c r="K348">
        <v>0</v>
      </c>
      <c r="L348">
        <f t="shared" si="10"/>
        <v>1</v>
      </c>
      <c r="M348">
        <f t="shared" si="11"/>
        <v>2</v>
      </c>
    </row>
    <row r="349" spans="1:13" x14ac:dyDescent="0.3">
      <c r="A349">
        <v>4</v>
      </c>
      <c r="B349" s="3">
        <v>43610.5</v>
      </c>
      <c r="C349" t="s">
        <v>63</v>
      </c>
      <c r="D349">
        <v>6</v>
      </c>
      <c r="E349">
        <v>5</v>
      </c>
      <c r="F349">
        <v>-0.99500000000000011</v>
      </c>
      <c r="H349">
        <v>2</v>
      </c>
      <c r="I349" t="s">
        <v>50</v>
      </c>
      <c r="J349">
        <v>-0.66999999999999993</v>
      </c>
      <c r="K349" t="s">
        <v>114</v>
      </c>
      <c r="L349">
        <f t="shared" si="10"/>
        <v>2</v>
      </c>
      <c r="M349">
        <f t="shared" si="11"/>
        <v>6</v>
      </c>
    </row>
    <row r="350" spans="1:13" x14ac:dyDescent="0.3">
      <c r="A350">
        <v>3</v>
      </c>
      <c r="B350" s="3">
        <v>43610.5</v>
      </c>
      <c r="C350" t="s">
        <v>63</v>
      </c>
      <c r="D350">
        <v>6</v>
      </c>
      <c r="E350">
        <v>5</v>
      </c>
      <c r="F350">
        <v>-0.99500000000000011</v>
      </c>
      <c r="H350">
        <v>12.029746299999999</v>
      </c>
      <c r="I350" t="s">
        <v>50</v>
      </c>
      <c r="J350">
        <v>-0.31200000000000006</v>
      </c>
      <c r="K350" t="s">
        <v>113</v>
      </c>
      <c r="L350">
        <f t="shared" si="10"/>
        <v>12</v>
      </c>
      <c r="M350">
        <f t="shared" si="11"/>
        <v>36</v>
      </c>
    </row>
    <row r="351" spans="1:13" hidden="1" x14ac:dyDescent="0.3">
      <c r="A351">
        <v>2</v>
      </c>
      <c r="B351" s="3">
        <v>43610.5</v>
      </c>
      <c r="C351" t="s">
        <v>63</v>
      </c>
      <c r="D351">
        <v>6</v>
      </c>
      <c r="E351">
        <v>5</v>
      </c>
      <c r="F351">
        <v>-0.99500000000000011</v>
      </c>
      <c r="H351">
        <v>131.23359599999998</v>
      </c>
      <c r="I351" t="s">
        <v>48</v>
      </c>
      <c r="J351">
        <v>-0.11799999999999988</v>
      </c>
      <c r="K351">
        <v>11</v>
      </c>
      <c r="L351">
        <f t="shared" si="10"/>
        <v>131</v>
      </c>
      <c r="M351">
        <f t="shared" si="11"/>
        <v>394</v>
      </c>
    </row>
    <row r="352" spans="1:13" hidden="1" x14ac:dyDescent="0.3">
      <c r="A352">
        <v>1</v>
      </c>
      <c r="B352" s="3">
        <v>43610.5</v>
      </c>
      <c r="C352" t="s">
        <v>63</v>
      </c>
      <c r="D352">
        <v>6</v>
      </c>
      <c r="E352">
        <v>5</v>
      </c>
      <c r="F352">
        <v>-0.99500000000000011</v>
      </c>
      <c r="H352">
        <v>382.76465499999995</v>
      </c>
      <c r="I352" t="s">
        <v>68</v>
      </c>
      <c r="J352">
        <v>9.4999999999999751E-2</v>
      </c>
      <c r="K352">
        <v>0</v>
      </c>
      <c r="L352">
        <f t="shared" si="10"/>
        <v>383</v>
      </c>
      <c r="M352">
        <f t="shared" si="11"/>
        <v>1148</v>
      </c>
    </row>
    <row r="353" spans="1:13" x14ac:dyDescent="0.3">
      <c r="A353">
        <v>4</v>
      </c>
      <c r="B353" s="3">
        <v>43610.5</v>
      </c>
      <c r="C353" t="s">
        <v>63</v>
      </c>
      <c r="D353">
        <v>5</v>
      </c>
      <c r="E353">
        <v>4</v>
      </c>
      <c r="F353">
        <v>-0.87999999999999989</v>
      </c>
      <c r="H353">
        <v>0.66666666666666663</v>
      </c>
      <c r="I353" t="s">
        <v>50</v>
      </c>
      <c r="J353">
        <v>1.0000000000000009E-2</v>
      </c>
      <c r="K353">
        <v>0</v>
      </c>
      <c r="L353">
        <f t="shared" si="10"/>
        <v>1</v>
      </c>
      <c r="M353">
        <f t="shared" si="11"/>
        <v>2</v>
      </c>
    </row>
    <row r="354" spans="1:13" hidden="1" x14ac:dyDescent="0.3">
      <c r="A354">
        <v>3</v>
      </c>
      <c r="B354" s="3">
        <v>43610.5</v>
      </c>
      <c r="C354" t="s">
        <v>63</v>
      </c>
      <c r="D354">
        <v>5</v>
      </c>
      <c r="E354">
        <v>4</v>
      </c>
      <c r="F354">
        <v>-0.87999999999999989</v>
      </c>
      <c r="H354">
        <v>15.310586199999999</v>
      </c>
      <c r="I354" t="s">
        <v>47</v>
      </c>
      <c r="J354">
        <v>0.46000000000000019</v>
      </c>
      <c r="K354">
        <v>0</v>
      </c>
      <c r="L354">
        <f t="shared" si="10"/>
        <v>15</v>
      </c>
      <c r="M354">
        <f t="shared" si="11"/>
        <v>46</v>
      </c>
    </row>
    <row r="355" spans="1:13" hidden="1" x14ac:dyDescent="0.3">
      <c r="A355">
        <v>2</v>
      </c>
      <c r="B355" s="3">
        <v>43610.5</v>
      </c>
      <c r="C355" t="s">
        <v>63</v>
      </c>
      <c r="D355">
        <v>5</v>
      </c>
      <c r="E355">
        <v>4</v>
      </c>
      <c r="F355">
        <v>-0.87999999999999989</v>
      </c>
      <c r="H355">
        <v>21.872265999999996</v>
      </c>
      <c r="I355" t="s">
        <v>47</v>
      </c>
      <c r="J355">
        <v>-0.88000000000000034</v>
      </c>
      <c r="K355">
        <v>0</v>
      </c>
      <c r="L355">
        <f t="shared" si="10"/>
        <v>22</v>
      </c>
      <c r="M355">
        <f t="shared" si="11"/>
        <v>66</v>
      </c>
    </row>
    <row r="356" spans="1:13" hidden="1" x14ac:dyDescent="0.3">
      <c r="A356">
        <v>1</v>
      </c>
      <c r="B356" s="3">
        <v>43610.5</v>
      </c>
      <c r="C356" t="s">
        <v>63</v>
      </c>
      <c r="D356">
        <v>5</v>
      </c>
      <c r="E356">
        <v>4</v>
      </c>
      <c r="F356">
        <v>-0.87999999999999989</v>
      </c>
      <c r="H356">
        <v>190.28871419999999</v>
      </c>
      <c r="I356" t="s">
        <v>68</v>
      </c>
      <c r="J356">
        <v>-0.46999999999999975</v>
      </c>
      <c r="K356">
        <v>20</v>
      </c>
      <c r="L356">
        <f t="shared" si="10"/>
        <v>190</v>
      </c>
      <c r="M356">
        <f t="shared" si="11"/>
        <v>571</v>
      </c>
    </row>
    <row r="357" spans="1:13" x14ac:dyDescent="0.3">
      <c r="A357">
        <v>4</v>
      </c>
      <c r="B357" s="3">
        <v>43610.5</v>
      </c>
      <c r="C357" t="s">
        <v>63</v>
      </c>
      <c r="D357">
        <v>4</v>
      </c>
      <c r="E357">
        <v>4</v>
      </c>
      <c r="F357">
        <v>0.16999999999999993</v>
      </c>
      <c r="H357">
        <v>1</v>
      </c>
      <c r="I357" t="s">
        <v>50</v>
      </c>
      <c r="J357">
        <v>4.0000000000000036E-2</v>
      </c>
      <c r="K357">
        <v>0</v>
      </c>
      <c r="L357">
        <f t="shared" si="10"/>
        <v>1</v>
      </c>
      <c r="M357">
        <f t="shared" si="11"/>
        <v>3</v>
      </c>
    </row>
    <row r="358" spans="1:13" hidden="1" x14ac:dyDescent="0.3">
      <c r="A358">
        <v>3</v>
      </c>
      <c r="B358" s="3">
        <v>43610.5</v>
      </c>
      <c r="C358" t="s">
        <v>63</v>
      </c>
      <c r="D358">
        <v>4</v>
      </c>
      <c r="E358">
        <v>4</v>
      </c>
      <c r="F358">
        <v>0.16999999999999993</v>
      </c>
      <c r="H358">
        <v>18.5914261</v>
      </c>
      <c r="I358" t="s">
        <v>47</v>
      </c>
      <c r="J358">
        <v>0.54999999999999982</v>
      </c>
      <c r="K358">
        <v>1</v>
      </c>
      <c r="L358">
        <f t="shared" si="10"/>
        <v>19</v>
      </c>
      <c r="M358">
        <f t="shared" si="11"/>
        <v>56</v>
      </c>
    </row>
    <row r="359" spans="1:13" hidden="1" x14ac:dyDescent="0.3">
      <c r="A359">
        <v>2</v>
      </c>
      <c r="B359" s="3">
        <v>43610.5</v>
      </c>
      <c r="C359" t="s">
        <v>63</v>
      </c>
      <c r="D359">
        <v>4</v>
      </c>
      <c r="E359">
        <v>4</v>
      </c>
      <c r="F359">
        <v>0.16999999999999993</v>
      </c>
      <c r="H359">
        <v>196.85039399999999</v>
      </c>
      <c r="I359" t="s">
        <v>48</v>
      </c>
      <c r="J359">
        <v>-0.39999999999999991</v>
      </c>
      <c r="K359">
        <v>17</v>
      </c>
      <c r="L359">
        <f t="shared" si="10"/>
        <v>197</v>
      </c>
      <c r="M359">
        <f t="shared" si="11"/>
        <v>591</v>
      </c>
    </row>
    <row r="360" spans="1:13" hidden="1" x14ac:dyDescent="0.3">
      <c r="A360">
        <v>1</v>
      </c>
      <c r="B360" s="3">
        <v>43610.5</v>
      </c>
      <c r="C360" t="s">
        <v>63</v>
      </c>
      <c r="D360">
        <v>4</v>
      </c>
      <c r="E360">
        <v>4</v>
      </c>
      <c r="F360">
        <v>0.16999999999999993</v>
      </c>
      <c r="H360">
        <v>421.04112049999998</v>
      </c>
      <c r="I360" t="s">
        <v>68</v>
      </c>
      <c r="J360">
        <v>-2.0000000000000018E-2</v>
      </c>
      <c r="K360">
        <v>0</v>
      </c>
      <c r="L360">
        <f t="shared" si="10"/>
        <v>421</v>
      </c>
      <c r="M360">
        <f t="shared" si="11"/>
        <v>1263</v>
      </c>
    </row>
    <row r="361" spans="1:13" x14ac:dyDescent="0.3">
      <c r="A361">
        <v>6</v>
      </c>
      <c r="B361" s="3">
        <v>43610.5</v>
      </c>
      <c r="C361" t="s">
        <v>63</v>
      </c>
      <c r="D361">
        <v>3</v>
      </c>
      <c r="E361">
        <v>6</v>
      </c>
      <c r="F361">
        <v>-1.1799999999999997</v>
      </c>
      <c r="H361">
        <v>0.66666666666666663</v>
      </c>
      <c r="I361" t="s">
        <v>50</v>
      </c>
      <c r="J361">
        <v>1.0000000000000009E-2</v>
      </c>
      <c r="K361">
        <v>0</v>
      </c>
      <c r="L361">
        <f t="shared" si="10"/>
        <v>1</v>
      </c>
      <c r="M361">
        <f t="shared" si="11"/>
        <v>2</v>
      </c>
    </row>
    <row r="362" spans="1:13" x14ac:dyDescent="0.3">
      <c r="A362">
        <v>5</v>
      </c>
      <c r="B362" s="3">
        <v>43610.5</v>
      </c>
      <c r="C362" t="s">
        <v>63</v>
      </c>
      <c r="D362">
        <v>3</v>
      </c>
      <c r="E362">
        <v>6</v>
      </c>
      <c r="F362">
        <v>-1.1799999999999997</v>
      </c>
      <c r="H362">
        <v>4.3744531999999996</v>
      </c>
      <c r="I362" t="s">
        <v>50</v>
      </c>
      <c r="J362">
        <v>-0.29800000000000004</v>
      </c>
      <c r="K362" t="s">
        <v>114</v>
      </c>
      <c r="L362">
        <f t="shared" si="10"/>
        <v>4</v>
      </c>
      <c r="M362">
        <f t="shared" si="11"/>
        <v>13</v>
      </c>
    </row>
    <row r="363" spans="1:13" hidden="1" x14ac:dyDescent="0.3">
      <c r="A363">
        <v>4</v>
      </c>
      <c r="B363" s="3">
        <v>43610.5</v>
      </c>
      <c r="C363" t="s">
        <v>63</v>
      </c>
      <c r="D363">
        <v>3</v>
      </c>
      <c r="E363">
        <v>6</v>
      </c>
      <c r="F363">
        <v>-1.1799999999999997</v>
      </c>
      <c r="H363">
        <v>15.310586199999999</v>
      </c>
      <c r="I363" t="s">
        <v>47</v>
      </c>
      <c r="J363">
        <v>-0.24199999999999977</v>
      </c>
      <c r="K363">
        <v>4</v>
      </c>
      <c r="L363">
        <f t="shared" si="10"/>
        <v>15</v>
      </c>
      <c r="M363">
        <f t="shared" si="11"/>
        <v>46</v>
      </c>
    </row>
    <row r="364" spans="1:13" hidden="1" x14ac:dyDescent="0.3">
      <c r="A364">
        <v>3</v>
      </c>
      <c r="B364" s="3">
        <v>43610.5</v>
      </c>
      <c r="C364" t="s">
        <v>63</v>
      </c>
      <c r="D364">
        <v>3</v>
      </c>
      <c r="E364">
        <v>6</v>
      </c>
      <c r="F364">
        <v>-1.1799999999999997</v>
      </c>
      <c r="H364">
        <v>157.48031519999998</v>
      </c>
      <c r="I364" t="s">
        <v>48</v>
      </c>
      <c r="J364">
        <v>-0.49000000000000021</v>
      </c>
      <c r="K364">
        <v>14</v>
      </c>
      <c r="L364">
        <f t="shared" si="10"/>
        <v>157</v>
      </c>
      <c r="M364">
        <f t="shared" si="11"/>
        <v>472</v>
      </c>
    </row>
    <row r="365" spans="1:13" hidden="1" x14ac:dyDescent="0.3">
      <c r="A365">
        <v>2</v>
      </c>
      <c r="B365" s="3">
        <v>43610.5</v>
      </c>
      <c r="C365" t="s">
        <v>63</v>
      </c>
      <c r="D365">
        <v>3</v>
      </c>
      <c r="E365">
        <v>6</v>
      </c>
      <c r="F365">
        <v>-1.1799999999999997</v>
      </c>
      <c r="H365">
        <v>205.59930039999998</v>
      </c>
      <c r="I365" t="s">
        <v>60</v>
      </c>
      <c r="J365">
        <v>-6.0000000000000053E-2</v>
      </c>
      <c r="K365">
        <v>0</v>
      </c>
      <c r="L365">
        <f t="shared" si="10"/>
        <v>206</v>
      </c>
      <c r="M365">
        <f t="shared" si="11"/>
        <v>617</v>
      </c>
    </row>
    <row r="366" spans="1:13" hidden="1" x14ac:dyDescent="0.3">
      <c r="A366">
        <v>1</v>
      </c>
      <c r="B366" s="3">
        <v>43610.5</v>
      </c>
      <c r="C366" t="s">
        <v>63</v>
      </c>
      <c r="D366">
        <v>3</v>
      </c>
      <c r="E366">
        <v>6</v>
      </c>
      <c r="F366">
        <v>-1.1799999999999997</v>
      </c>
      <c r="H366">
        <v>554.46194309999998</v>
      </c>
      <c r="I366" t="s">
        <v>68</v>
      </c>
      <c r="J366">
        <v>-9.9999999999999645E-2</v>
      </c>
      <c r="K366">
        <v>0</v>
      </c>
      <c r="L366">
        <f t="shared" si="10"/>
        <v>554</v>
      </c>
      <c r="M366">
        <f t="shared" si="11"/>
        <v>1663</v>
      </c>
    </row>
    <row r="367" spans="1:13" x14ac:dyDescent="0.3">
      <c r="A367">
        <v>6</v>
      </c>
      <c r="B367" s="3">
        <v>43610.5</v>
      </c>
      <c r="C367" t="s">
        <v>63</v>
      </c>
      <c r="D367">
        <v>2</v>
      </c>
      <c r="E367">
        <v>6</v>
      </c>
      <c r="F367">
        <v>-1.7199999999999998</v>
      </c>
      <c r="H367">
        <v>0.33333333333333331</v>
      </c>
      <c r="I367" t="s">
        <v>50</v>
      </c>
      <c r="J367">
        <v>1.0000000000000009E-2</v>
      </c>
      <c r="K367">
        <v>0</v>
      </c>
      <c r="L367">
        <f t="shared" si="10"/>
        <v>0</v>
      </c>
      <c r="M367">
        <f t="shared" si="11"/>
        <v>1</v>
      </c>
    </row>
    <row r="368" spans="1:13" x14ac:dyDescent="0.3">
      <c r="A368">
        <v>5</v>
      </c>
      <c r="B368" s="3">
        <v>43610.5</v>
      </c>
      <c r="C368" t="s">
        <v>63</v>
      </c>
      <c r="D368">
        <v>2</v>
      </c>
      <c r="E368">
        <v>6</v>
      </c>
      <c r="F368">
        <v>-1.7199999999999998</v>
      </c>
      <c r="H368">
        <v>1</v>
      </c>
      <c r="I368" t="s">
        <v>50</v>
      </c>
      <c r="J368">
        <v>-0.97</v>
      </c>
      <c r="K368" t="s">
        <v>114</v>
      </c>
      <c r="L368">
        <f t="shared" si="10"/>
        <v>1</v>
      </c>
      <c r="M368">
        <f t="shared" si="11"/>
        <v>3</v>
      </c>
    </row>
    <row r="369" spans="1:13" x14ac:dyDescent="0.3">
      <c r="A369">
        <v>4</v>
      </c>
      <c r="B369" s="3">
        <v>43610.5</v>
      </c>
      <c r="C369" t="s">
        <v>63</v>
      </c>
      <c r="D369">
        <v>2</v>
      </c>
      <c r="E369">
        <v>6</v>
      </c>
      <c r="F369">
        <v>-1.7199999999999998</v>
      </c>
      <c r="H369">
        <v>14.216972899999998</v>
      </c>
      <c r="I369" t="s">
        <v>50</v>
      </c>
      <c r="J369">
        <v>3.6000000000000032E-2</v>
      </c>
      <c r="K369" t="s">
        <v>115</v>
      </c>
      <c r="L369">
        <f t="shared" si="10"/>
        <v>14</v>
      </c>
      <c r="M369">
        <f t="shared" si="11"/>
        <v>43</v>
      </c>
    </row>
    <row r="370" spans="1:13" hidden="1" x14ac:dyDescent="0.3">
      <c r="A370">
        <v>3</v>
      </c>
      <c r="B370" s="3">
        <v>43610.5</v>
      </c>
      <c r="C370" t="s">
        <v>63</v>
      </c>
      <c r="D370">
        <v>2</v>
      </c>
      <c r="E370">
        <v>6</v>
      </c>
      <c r="F370">
        <v>-1.7199999999999998</v>
      </c>
      <c r="H370">
        <v>44.838145299999994</v>
      </c>
      <c r="I370" t="s">
        <v>47</v>
      </c>
      <c r="J370">
        <v>-0.29600000000000026</v>
      </c>
      <c r="K370">
        <v>13</v>
      </c>
      <c r="L370">
        <f t="shared" si="10"/>
        <v>45</v>
      </c>
      <c r="M370">
        <f t="shared" si="11"/>
        <v>135</v>
      </c>
    </row>
    <row r="371" spans="1:13" hidden="1" x14ac:dyDescent="0.3">
      <c r="A371">
        <v>2</v>
      </c>
      <c r="B371" s="3">
        <v>43610.5</v>
      </c>
      <c r="C371" t="s">
        <v>63</v>
      </c>
      <c r="D371">
        <v>2</v>
      </c>
      <c r="E371">
        <v>6</v>
      </c>
      <c r="F371">
        <v>-1.7199999999999998</v>
      </c>
      <c r="H371">
        <v>229.65879299999997</v>
      </c>
      <c r="I371" t="s">
        <v>60</v>
      </c>
      <c r="J371">
        <v>0.14000000000000012</v>
      </c>
      <c r="K371">
        <v>0</v>
      </c>
      <c r="L371">
        <f t="shared" si="10"/>
        <v>230</v>
      </c>
      <c r="M371">
        <f t="shared" si="11"/>
        <v>689</v>
      </c>
    </row>
    <row r="372" spans="1:13" hidden="1" x14ac:dyDescent="0.3">
      <c r="A372">
        <v>1</v>
      </c>
      <c r="B372" s="3">
        <v>43610.5</v>
      </c>
      <c r="C372" t="s">
        <v>63</v>
      </c>
      <c r="D372">
        <v>2</v>
      </c>
      <c r="E372">
        <v>6</v>
      </c>
      <c r="F372">
        <v>-1.7199999999999998</v>
      </c>
      <c r="H372">
        <v>440.72615989999997</v>
      </c>
      <c r="I372" t="s">
        <v>68</v>
      </c>
      <c r="J372">
        <v>-0.63999999999999968</v>
      </c>
      <c r="K372">
        <v>0</v>
      </c>
      <c r="L372">
        <f t="shared" si="10"/>
        <v>441</v>
      </c>
      <c r="M372">
        <f t="shared" si="11"/>
        <v>1322</v>
      </c>
    </row>
    <row r="373" spans="1:13" x14ac:dyDescent="0.3">
      <c r="A373">
        <v>4</v>
      </c>
      <c r="B373" s="3">
        <v>43610.5</v>
      </c>
      <c r="C373" t="s">
        <v>63</v>
      </c>
      <c r="D373">
        <v>1</v>
      </c>
      <c r="E373">
        <v>4</v>
      </c>
      <c r="F373">
        <v>-2.4999999999999911E-2</v>
      </c>
      <c r="H373">
        <v>1</v>
      </c>
      <c r="I373" t="s">
        <v>50</v>
      </c>
      <c r="J373">
        <v>4.0000000000000036E-2</v>
      </c>
      <c r="K373">
        <v>0</v>
      </c>
      <c r="L373">
        <f t="shared" si="10"/>
        <v>1</v>
      </c>
      <c r="M373">
        <f t="shared" si="11"/>
        <v>3</v>
      </c>
    </row>
    <row r="374" spans="1:13" x14ac:dyDescent="0.3">
      <c r="A374">
        <v>3</v>
      </c>
      <c r="B374" s="3">
        <v>43610.5</v>
      </c>
      <c r="C374" t="s">
        <v>63</v>
      </c>
      <c r="D374">
        <v>1</v>
      </c>
      <c r="E374">
        <v>4</v>
      </c>
      <c r="F374">
        <v>-2.4999999999999911E-2</v>
      </c>
      <c r="H374">
        <v>10.936132999999998</v>
      </c>
      <c r="I374" t="s">
        <v>50</v>
      </c>
      <c r="J374">
        <v>-4.4000000000000039E-2</v>
      </c>
      <c r="K374" t="s">
        <v>115</v>
      </c>
      <c r="L374">
        <f t="shared" si="10"/>
        <v>11</v>
      </c>
      <c r="M374">
        <f t="shared" si="11"/>
        <v>33</v>
      </c>
    </row>
    <row r="375" spans="1:13" hidden="1" x14ac:dyDescent="0.3">
      <c r="A375">
        <v>2</v>
      </c>
      <c r="B375" s="3">
        <v>43610.5</v>
      </c>
      <c r="C375" t="s">
        <v>63</v>
      </c>
      <c r="D375">
        <v>1</v>
      </c>
      <c r="E375">
        <v>4</v>
      </c>
      <c r="F375">
        <v>-2.4999999999999911E-2</v>
      </c>
      <c r="H375">
        <v>107.17410339999999</v>
      </c>
      <c r="I375" t="s">
        <v>48</v>
      </c>
      <c r="J375">
        <v>-0.19600000000000017</v>
      </c>
      <c r="K375">
        <v>10</v>
      </c>
      <c r="L375">
        <f t="shared" si="10"/>
        <v>107</v>
      </c>
      <c r="M375">
        <f t="shared" si="11"/>
        <v>322</v>
      </c>
    </row>
    <row r="376" spans="1:13" hidden="1" x14ac:dyDescent="0.3">
      <c r="A376">
        <v>1</v>
      </c>
      <c r="B376" s="3">
        <v>43610.5</v>
      </c>
      <c r="C376" t="s">
        <v>63</v>
      </c>
      <c r="D376">
        <v>1</v>
      </c>
      <c r="E376">
        <v>4</v>
      </c>
      <c r="F376">
        <v>-2.4999999999999911E-2</v>
      </c>
      <c r="H376">
        <v>363.07961559999995</v>
      </c>
      <c r="I376" t="s">
        <v>68</v>
      </c>
      <c r="J376">
        <v>0.17500000000000027</v>
      </c>
      <c r="K376">
        <v>0</v>
      </c>
      <c r="L376">
        <f t="shared" si="10"/>
        <v>363</v>
      </c>
      <c r="M376">
        <f t="shared" si="11"/>
        <v>1089</v>
      </c>
    </row>
    <row r="377" spans="1:13" x14ac:dyDescent="0.3">
      <c r="A377">
        <v>5</v>
      </c>
      <c r="B377" s="3">
        <v>43609.5</v>
      </c>
      <c r="C377" t="s">
        <v>64</v>
      </c>
      <c r="D377">
        <v>9</v>
      </c>
      <c r="E377">
        <v>5</v>
      </c>
      <c r="F377">
        <v>-0.20999999999999996</v>
      </c>
      <c r="H377">
        <v>0.66666666666666663</v>
      </c>
      <c r="I377" t="s">
        <v>50</v>
      </c>
      <c r="J377">
        <v>1.0000000000000009E-2</v>
      </c>
      <c r="K377">
        <v>0</v>
      </c>
      <c r="L377">
        <f t="shared" si="10"/>
        <v>1</v>
      </c>
      <c r="M377">
        <f t="shared" si="11"/>
        <v>2</v>
      </c>
    </row>
    <row r="378" spans="1:13" hidden="1" x14ac:dyDescent="0.3">
      <c r="A378">
        <v>4</v>
      </c>
      <c r="B378" s="3">
        <v>43609.5</v>
      </c>
      <c r="C378" t="s">
        <v>64</v>
      </c>
      <c r="D378">
        <v>9</v>
      </c>
      <c r="E378">
        <v>5</v>
      </c>
      <c r="F378">
        <v>-0.20999999999999996</v>
      </c>
      <c r="H378">
        <v>15.310586199999999</v>
      </c>
      <c r="I378" t="s">
        <v>48</v>
      </c>
      <c r="J378">
        <v>0.28000000000000003</v>
      </c>
      <c r="K378">
        <v>0</v>
      </c>
      <c r="L378">
        <f t="shared" si="10"/>
        <v>15</v>
      </c>
      <c r="M378">
        <f t="shared" si="11"/>
        <v>46</v>
      </c>
    </row>
    <row r="379" spans="1:13" hidden="1" x14ac:dyDescent="0.3">
      <c r="A379">
        <v>3</v>
      </c>
      <c r="B379" s="3">
        <v>43609.5</v>
      </c>
      <c r="C379" t="s">
        <v>64</v>
      </c>
      <c r="D379">
        <v>9</v>
      </c>
      <c r="E379">
        <v>5</v>
      </c>
      <c r="F379">
        <v>-0.20999999999999996</v>
      </c>
      <c r="H379">
        <v>33.902012299999996</v>
      </c>
      <c r="I379" t="s">
        <v>49</v>
      </c>
      <c r="J379">
        <v>-0.76000000000000023</v>
      </c>
      <c r="K379">
        <v>14</v>
      </c>
      <c r="L379">
        <f t="shared" si="10"/>
        <v>34</v>
      </c>
      <c r="M379">
        <f t="shared" si="11"/>
        <v>102</v>
      </c>
    </row>
    <row r="380" spans="1:13" hidden="1" x14ac:dyDescent="0.3">
      <c r="A380">
        <v>2</v>
      </c>
      <c r="B380" s="3">
        <v>43609.5</v>
      </c>
      <c r="C380" t="s">
        <v>64</v>
      </c>
      <c r="D380">
        <v>9</v>
      </c>
      <c r="E380">
        <v>5</v>
      </c>
      <c r="F380">
        <v>-0.20999999999999996</v>
      </c>
      <c r="H380">
        <v>234.03324619999998</v>
      </c>
      <c r="I380" t="s">
        <v>48</v>
      </c>
      <c r="J380">
        <v>-7.9999999999999627E-2</v>
      </c>
      <c r="K380">
        <v>31</v>
      </c>
      <c r="L380">
        <f t="shared" si="10"/>
        <v>234</v>
      </c>
      <c r="M380">
        <f t="shared" si="11"/>
        <v>702</v>
      </c>
    </row>
    <row r="381" spans="1:13" hidden="1" x14ac:dyDescent="0.3">
      <c r="A381">
        <v>1</v>
      </c>
      <c r="B381" s="3">
        <v>43609.5</v>
      </c>
      <c r="C381" t="s">
        <v>64</v>
      </c>
      <c r="D381">
        <v>9</v>
      </c>
      <c r="E381">
        <v>5</v>
      </c>
      <c r="F381">
        <v>-0.20999999999999996</v>
      </c>
      <c r="H381">
        <v>530.40245049999999</v>
      </c>
      <c r="I381" t="s">
        <v>68</v>
      </c>
      <c r="J381">
        <v>0.33999999999999986</v>
      </c>
      <c r="K381">
        <v>0</v>
      </c>
      <c r="L381">
        <f t="shared" si="10"/>
        <v>530</v>
      </c>
      <c r="M381">
        <f t="shared" si="11"/>
        <v>1591</v>
      </c>
    </row>
    <row r="382" spans="1:13" x14ac:dyDescent="0.3">
      <c r="A382">
        <v>3</v>
      </c>
      <c r="B382" s="3">
        <v>43609.5</v>
      </c>
      <c r="C382" t="s">
        <v>64</v>
      </c>
      <c r="D382">
        <v>8</v>
      </c>
      <c r="E382">
        <v>3</v>
      </c>
      <c r="F382">
        <v>-9.9999999999997868E-3</v>
      </c>
      <c r="H382">
        <v>1</v>
      </c>
      <c r="I382" t="s">
        <v>50</v>
      </c>
      <c r="J382">
        <v>4.0000000000000036E-2</v>
      </c>
      <c r="K382">
        <v>0</v>
      </c>
      <c r="L382">
        <f t="shared" si="10"/>
        <v>1</v>
      </c>
      <c r="M382">
        <f t="shared" si="11"/>
        <v>3</v>
      </c>
    </row>
    <row r="383" spans="1:13" x14ac:dyDescent="0.3">
      <c r="A383">
        <v>2</v>
      </c>
      <c r="B383" s="3">
        <v>43609.5</v>
      </c>
      <c r="C383" t="s">
        <v>64</v>
      </c>
      <c r="D383">
        <v>8</v>
      </c>
      <c r="E383">
        <v>3</v>
      </c>
      <c r="F383">
        <v>-9.9999999999997868E-3</v>
      </c>
      <c r="H383">
        <v>5.4680664999999991</v>
      </c>
      <c r="I383" t="s">
        <v>50</v>
      </c>
      <c r="J383">
        <v>-0.24199999999999999</v>
      </c>
      <c r="K383" t="s">
        <v>111</v>
      </c>
      <c r="L383">
        <f t="shared" si="10"/>
        <v>5</v>
      </c>
      <c r="M383">
        <f t="shared" si="11"/>
        <v>16</v>
      </c>
    </row>
    <row r="384" spans="1:13" hidden="1" x14ac:dyDescent="0.3">
      <c r="A384">
        <v>1</v>
      </c>
      <c r="B384" s="3">
        <v>43609.5</v>
      </c>
      <c r="C384" t="s">
        <v>64</v>
      </c>
      <c r="D384">
        <v>8</v>
      </c>
      <c r="E384">
        <v>3</v>
      </c>
      <c r="F384">
        <v>-9.9999999999997868E-3</v>
      </c>
      <c r="H384">
        <v>157.48031519999998</v>
      </c>
      <c r="I384" t="s">
        <v>68</v>
      </c>
      <c r="J384">
        <v>0.19200000000000017</v>
      </c>
      <c r="K384">
        <v>5</v>
      </c>
      <c r="L384">
        <f t="shared" si="10"/>
        <v>157</v>
      </c>
      <c r="M384">
        <f t="shared" si="11"/>
        <v>472</v>
      </c>
    </row>
    <row r="385" spans="1:13" x14ac:dyDescent="0.3">
      <c r="A385">
        <v>4</v>
      </c>
      <c r="B385" s="3">
        <v>43609.5</v>
      </c>
      <c r="C385" t="s">
        <v>64</v>
      </c>
      <c r="D385">
        <v>7</v>
      </c>
      <c r="E385">
        <v>4</v>
      </c>
      <c r="F385">
        <v>0.41000000000000014</v>
      </c>
      <c r="H385">
        <v>1</v>
      </c>
      <c r="I385" t="s">
        <v>50</v>
      </c>
      <c r="J385">
        <v>4.0000000000000036E-2</v>
      </c>
      <c r="K385">
        <v>0</v>
      </c>
      <c r="L385">
        <f t="shared" si="10"/>
        <v>1</v>
      </c>
      <c r="M385">
        <f t="shared" si="11"/>
        <v>3</v>
      </c>
    </row>
    <row r="386" spans="1:13" x14ac:dyDescent="0.3">
      <c r="A386">
        <v>3</v>
      </c>
      <c r="B386" s="3">
        <v>43609.5</v>
      </c>
      <c r="C386" t="s">
        <v>64</v>
      </c>
      <c r="D386">
        <v>7</v>
      </c>
      <c r="E386">
        <v>4</v>
      </c>
      <c r="F386">
        <v>0.41000000000000014</v>
      </c>
      <c r="H386">
        <v>8.7489063999999992</v>
      </c>
      <c r="I386" t="s">
        <v>50</v>
      </c>
      <c r="J386">
        <v>-0.10000000000000009</v>
      </c>
      <c r="K386" t="s">
        <v>113</v>
      </c>
      <c r="L386">
        <f t="shared" ref="L386:L449" si="12">ROUND(H386,0)</f>
        <v>9</v>
      </c>
      <c r="M386">
        <f t="shared" ref="M386:M449" si="13">ROUND(H386*3,0)</f>
        <v>26</v>
      </c>
    </row>
    <row r="387" spans="1:13" hidden="1" x14ac:dyDescent="0.3">
      <c r="A387">
        <v>2</v>
      </c>
      <c r="B387" s="3">
        <v>43609.5</v>
      </c>
      <c r="C387" t="s">
        <v>64</v>
      </c>
      <c r="D387">
        <v>7</v>
      </c>
      <c r="E387">
        <v>4</v>
      </c>
      <c r="F387">
        <v>0.41000000000000014</v>
      </c>
      <c r="H387">
        <v>145.45056889999998</v>
      </c>
      <c r="I387" t="s">
        <v>48</v>
      </c>
      <c r="J387">
        <v>-2.9999999999999805E-2</v>
      </c>
      <c r="K387">
        <v>8</v>
      </c>
      <c r="L387">
        <f t="shared" si="12"/>
        <v>145</v>
      </c>
      <c r="M387">
        <f t="shared" si="13"/>
        <v>436</v>
      </c>
    </row>
    <row r="388" spans="1:13" hidden="1" x14ac:dyDescent="0.3">
      <c r="A388">
        <v>1</v>
      </c>
      <c r="B388" s="3">
        <v>43609.5</v>
      </c>
      <c r="C388" t="s">
        <v>64</v>
      </c>
      <c r="D388">
        <v>7</v>
      </c>
      <c r="E388">
        <v>4</v>
      </c>
      <c r="F388">
        <v>0.41000000000000014</v>
      </c>
      <c r="H388">
        <v>460.41119929999996</v>
      </c>
      <c r="I388" t="s">
        <v>68</v>
      </c>
      <c r="J388">
        <v>0.5</v>
      </c>
      <c r="K388">
        <v>0</v>
      </c>
      <c r="L388">
        <f t="shared" si="12"/>
        <v>460</v>
      </c>
      <c r="M388">
        <f t="shared" si="13"/>
        <v>1381</v>
      </c>
    </row>
    <row r="389" spans="1:13" x14ac:dyDescent="0.3">
      <c r="A389">
        <v>4</v>
      </c>
      <c r="B389" s="3">
        <v>43609.5</v>
      </c>
      <c r="C389" t="s">
        <v>64</v>
      </c>
      <c r="D389">
        <v>6</v>
      </c>
      <c r="E389">
        <v>4</v>
      </c>
      <c r="F389">
        <v>4.9999999999998934E-3</v>
      </c>
      <c r="H389">
        <v>1.3333333333333333</v>
      </c>
      <c r="I389" t="s">
        <v>50</v>
      </c>
      <c r="J389">
        <v>0.12999999999999989</v>
      </c>
      <c r="K389">
        <v>0</v>
      </c>
      <c r="L389">
        <f t="shared" si="12"/>
        <v>1</v>
      </c>
      <c r="M389">
        <f t="shared" si="13"/>
        <v>4</v>
      </c>
    </row>
    <row r="390" spans="1:13" x14ac:dyDescent="0.3">
      <c r="A390">
        <v>3</v>
      </c>
      <c r="B390" s="3">
        <v>43609.5</v>
      </c>
      <c r="C390" t="s">
        <v>64</v>
      </c>
      <c r="D390">
        <v>6</v>
      </c>
      <c r="E390">
        <v>4</v>
      </c>
      <c r="F390">
        <v>4.9999999999998934E-3</v>
      </c>
      <c r="H390">
        <v>10.936132999999998</v>
      </c>
      <c r="I390" t="s">
        <v>50</v>
      </c>
      <c r="J390">
        <v>-0.1339999999999999</v>
      </c>
      <c r="K390" t="s">
        <v>113</v>
      </c>
      <c r="L390">
        <f t="shared" si="12"/>
        <v>11</v>
      </c>
      <c r="M390">
        <f t="shared" si="13"/>
        <v>33</v>
      </c>
    </row>
    <row r="391" spans="1:13" hidden="1" x14ac:dyDescent="0.3">
      <c r="A391">
        <v>2</v>
      </c>
      <c r="B391" s="3">
        <v>43609.5</v>
      </c>
      <c r="C391" t="s">
        <v>64</v>
      </c>
      <c r="D391">
        <v>6</v>
      </c>
      <c r="E391">
        <v>4</v>
      </c>
      <c r="F391">
        <v>4.9999999999998934E-3</v>
      </c>
      <c r="H391">
        <v>124.67191619999998</v>
      </c>
      <c r="I391" t="s">
        <v>48</v>
      </c>
      <c r="J391">
        <v>-0.14599999999999991</v>
      </c>
      <c r="K391">
        <v>10</v>
      </c>
      <c r="L391">
        <f t="shared" si="12"/>
        <v>125</v>
      </c>
      <c r="M391">
        <f t="shared" si="13"/>
        <v>374</v>
      </c>
    </row>
    <row r="392" spans="1:13" hidden="1" x14ac:dyDescent="0.3">
      <c r="A392">
        <v>1</v>
      </c>
      <c r="B392" s="3">
        <v>43609.5</v>
      </c>
      <c r="C392" t="s">
        <v>64</v>
      </c>
      <c r="D392">
        <v>6</v>
      </c>
      <c r="E392">
        <v>4</v>
      </c>
      <c r="F392">
        <v>4.9999999999998934E-3</v>
      </c>
      <c r="H392">
        <v>377.29658849999998</v>
      </c>
      <c r="I392" t="s">
        <v>68</v>
      </c>
      <c r="J392">
        <v>0.1549999999999998</v>
      </c>
      <c r="K392">
        <v>0</v>
      </c>
      <c r="L392">
        <f t="shared" si="12"/>
        <v>377</v>
      </c>
      <c r="M392">
        <f t="shared" si="13"/>
        <v>1132</v>
      </c>
    </row>
    <row r="393" spans="1:13" x14ac:dyDescent="0.3">
      <c r="A393">
        <v>4</v>
      </c>
      <c r="B393" s="3">
        <v>43609.5</v>
      </c>
      <c r="C393" t="s">
        <v>64</v>
      </c>
      <c r="D393">
        <v>5</v>
      </c>
      <c r="E393">
        <v>4</v>
      </c>
      <c r="F393">
        <v>-8.0000000000000071E-2</v>
      </c>
      <c r="H393">
        <v>4.666666666666667</v>
      </c>
      <c r="I393" t="s">
        <v>50</v>
      </c>
      <c r="J393">
        <v>0.71199999999999997</v>
      </c>
      <c r="K393">
        <v>0</v>
      </c>
      <c r="L393">
        <f t="shared" si="12"/>
        <v>5</v>
      </c>
      <c r="M393">
        <f t="shared" si="13"/>
        <v>14</v>
      </c>
    </row>
    <row r="394" spans="1:13" hidden="1" x14ac:dyDescent="0.3">
      <c r="A394">
        <v>3</v>
      </c>
      <c r="B394" s="3">
        <v>43609.5</v>
      </c>
      <c r="C394" t="s">
        <v>64</v>
      </c>
      <c r="D394">
        <v>5</v>
      </c>
      <c r="E394">
        <v>4</v>
      </c>
      <c r="F394">
        <v>-8.0000000000000071E-2</v>
      </c>
      <c r="H394">
        <v>100.61242359999999</v>
      </c>
      <c r="I394" t="s">
        <v>47</v>
      </c>
      <c r="J394">
        <v>0.248</v>
      </c>
      <c r="K394">
        <v>0</v>
      </c>
      <c r="L394">
        <f t="shared" si="12"/>
        <v>101</v>
      </c>
      <c r="M394">
        <f t="shared" si="13"/>
        <v>302</v>
      </c>
    </row>
    <row r="395" spans="1:13" hidden="1" x14ac:dyDescent="0.3">
      <c r="A395">
        <v>2</v>
      </c>
      <c r="B395" s="3">
        <v>43609.5</v>
      </c>
      <c r="C395" t="s">
        <v>64</v>
      </c>
      <c r="D395">
        <v>5</v>
      </c>
      <c r="E395">
        <v>4</v>
      </c>
      <c r="F395">
        <v>-8.0000000000000071E-2</v>
      </c>
      <c r="H395">
        <v>100.61242359999999</v>
      </c>
      <c r="I395" t="s">
        <v>60</v>
      </c>
      <c r="J395">
        <v>-0.16000000000000014</v>
      </c>
      <c r="K395">
        <v>0</v>
      </c>
      <c r="L395">
        <f t="shared" si="12"/>
        <v>101</v>
      </c>
      <c r="M395">
        <f t="shared" si="13"/>
        <v>302</v>
      </c>
    </row>
    <row r="396" spans="1:13" hidden="1" x14ac:dyDescent="0.3">
      <c r="A396">
        <v>1</v>
      </c>
      <c r="B396" s="3">
        <v>43609.5</v>
      </c>
      <c r="C396" t="s">
        <v>64</v>
      </c>
      <c r="D396">
        <v>5</v>
      </c>
      <c r="E396">
        <v>4</v>
      </c>
      <c r="F396">
        <v>-8.0000000000000071E-2</v>
      </c>
      <c r="H396">
        <v>334.64566979999995</v>
      </c>
      <c r="I396" t="s">
        <v>68</v>
      </c>
      <c r="J396">
        <v>-0.87999999999999989</v>
      </c>
      <c r="K396">
        <v>0</v>
      </c>
      <c r="L396">
        <f t="shared" si="12"/>
        <v>335</v>
      </c>
      <c r="M396">
        <f t="shared" si="13"/>
        <v>1004</v>
      </c>
    </row>
    <row r="397" spans="1:13" x14ac:dyDescent="0.3">
      <c r="A397">
        <v>5</v>
      </c>
      <c r="B397" s="3">
        <v>43609.5</v>
      </c>
      <c r="C397" t="s">
        <v>64</v>
      </c>
      <c r="D397">
        <v>4</v>
      </c>
      <c r="E397">
        <v>5</v>
      </c>
      <c r="F397">
        <v>-0.17999999999999972</v>
      </c>
      <c r="H397">
        <v>0.66666666666666663</v>
      </c>
      <c r="I397" t="s">
        <v>50</v>
      </c>
      <c r="J397">
        <v>1.0000000000000009E-2</v>
      </c>
      <c r="K397">
        <v>0</v>
      </c>
      <c r="L397">
        <f t="shared" si="12"/>
        <v>1</v>
      </c>
      <c r="M397">
        <f t="shared" si="13"/>
        <v>2</v>
      </c>
    </row>
    <row r="398" spans="1:13" x14ac:dyDescent="0.3">
      <c r="A398">
        <v>4</v>
      </c>
      <c r="B398" s="3">
        <v>43609.5</v>
      </c>
      <c r="C398" t="s">
        <v>64</v>
      </c>
      <c r="D398">
        <v>4</v>
      </c>
      <c r="E398">
        <v>5</v>
      </c>
      <c r="F398">
        <v>-0.17999999999999972</v>
      </c>
      <c r="H398">
        <v>14.216972899999998</v>
      </c>
      <c r="I398" t="s">
        <v>50</v>
      </c>
      <c r="J398">
        <v>6.6000000000000059E-2</v>
      </c>
      <c r="K398" t="s">
        <v>113</v>
      </c>
      <c r="L398">
        <f t="shared" si="12"/>
        <v>14</v>
      </c>
      <c r="M398">
        <f t="shared" si="13"/>
        <v>43</v>
      </c>
    </row>
    <row r="399" spans="1:13" hidden="1" x14ac:dyDescent="0.3">
      <c r="A399">
        <v>3</v>
      </c>
      <c r="B399" s="3">
        <v>43609.5</v>
      </c>
      <c r="C399" t="s">
        <v>64</v>
      </c>
      <c r="D399">
        <v>4</v>
      </c>
      <c r="E399">
        <v>5</v>
      </c>
      <c r="F399">
        <v>-0.17999999999999972</v>
      </c>
      <c r="H399">
        <v>32.808398999999994</v>
      </c>
      <c r="I399" t="s">
        <v>47</v>
      </c>
      <c r="J399">
        <v>-0.48600000000000021</v>
      </c>
      <c r="K399">
        <v>0</v>
      </c>
      <c r="L399">
        <f t="shared" si="12"/>
        <v>33</v>
      </c>
      <c r="M399">
        <f t="shared" si="13"/>
        <v>98</v>
      </c>
    </row>
    <row r="400" spans="1:13" hidden="1" x14ac:dyDescent="0.3">
      <c r="A400">
        <v>2</v>
      </c>
      <c r="B400" s="3">
        <v>43609.5</v>
      </c>
      <c r="C400" t="s">
        <v>64</v>
      </c>
      <c r="D400">
        <v>4</v>
      </c>
      <c r="E400">
        <v>5</v>
      </c>
      <c r="F400">
        <v>-0.17999999999999972</v>
      </c>
      <c r="H400">
        <v>279.96500479999997</v>
      </c>
      <c r="I400" t="s">
        <v>48</v>
      </c>
      <c r="J400">
        <v>0.18999999999999995</v>
      </c>
      <c r="K400">
        <v>30</v>
      </c>
      <c r="L400">
        <f t="shared" si="12"/>
        <v>280</v>
      </c>
      <c r="M400">
        <f t="shared" si="13"/>
        <v>840</v>
      </c>
    </row>
    <row r="401" spans="1:13" hidden="1" x14ac:dyDescent="0.3">
      <c r="A401">
        <v>1</v>
      </c>
      <c r="B401" s="3">
        <v>43609.5</v>
      </c>
      <c r="C401" t="s">
        <v>64</v>
      </c>
      <c r="D401">
        <v>4</v>
      </c>
      <c r="E401">
        <v>5</v>
      </c>
      <c r="F401">
        <v>-0.17999999999999972</v>
      </c>
      <c r="H401">
        <v>577.42782239999997</v>
      </c>
      <c r="I401" t="s">
        <v>68</v>
      </c>
      <c r="J401">
        <v>4.000000000000048E-2</v>
      </c>
      <c r="K401">
        <v>0</v>
      </c>
      <c r="L401">
        <f t="shared" si="12"/>
        <v>577</v>
      </c>
      <c r="M401">
        <f t="shared" si="13"/>
        <v>1732</v>
      </c>
    </row>
    <row r="402" spans="1:13" x14ac:dyDescent="0.3">
      <c r="A402">
        <v>4</v>
      </c>
      <c r="B402" s="3">
        <v>43609.5</v>
      </c>
      <c r="C402" t="s">
        <v>64</v>
      </c>
      <c r="D402">
        <v>3</v>
      </c>
      <c r="E402">
        <v>4</v>
      </c>
      <c r="F402">
        <v>-0.79</v>
      </c>
      <c r="H402">
        <v>1</v>
      </c>
      <c r="I402" t="s">
        <v>50</v>
      </c>
      <c r="J402">
        <v>4.0000000000000036E-2</v>
      </c>
      <c r="K402">
        <v>0</v>
      </c>
      <c r="L402">
        <f t="shared" si="12"/>
        <v>1</v>
      </c>
      <c r="M402">
        <f t="shared" si="13"/>
        <v>3</v>
      </c>
    </row>
    <row r="403" spans="1:13" x14ac:dyDescent="0.3">
      <c r="A403">
        <v>3</v>
      </c>
      <c r="B403" s="3">
        <v>43609.5</v>
      </c>
      <c r="C403" t="s">
        <v>64</v>
      </c>
      <c r="D403">
        <v>3</v>
      </c>
      <c r="E403">
        <v>4</v>
      </c>
      <c r="F403">
        <v>-0.79</v>
      </c>
      <c r="H403">
        <v>8.7489063999999992</v>
      </c>
      <c r="I403" t="s">
        <v>50</v>
      </c>
      <c r="J403">
        <v>-0.10000000000000009</v>
      </c>
      <c r="K403" t="s">
        <v>114</v>
      </c>
      <c r="L403">
        <f t="shared" si="12"/>
        <v>9</v>
      </c>
      <c r="M403">
        <f t="shared" si="13"/>
        <v>26</v>
      </c>
    </row>
    <row r="404" spans="1:13" hidden="1" x14ac:dyDescent="0.3">
      <c r="A404">
        <v>2</v>
      </c>
      <c r="B404" s="3">
        <v>43609.5</v>
      </c>
      <c r="C404" t="s">
        <v>64</v>
      </c>
      <c r="D404">
        <v>3</v>
      </c>
      <c r="E404">
        <v>4</v>
      </c>
      <c r="F404">
        <v>-0.79</v>
      </c>
      <c r="H404">
        <v>21.872265999999996</v>
      </c>
      <c r="I404" t="s">
        <v>47</v>
      </c>
      <c r="J404">
        <v>-0.35000000000000009</v>
      </c>
      <c r="K404">
        <v>8</v>
      </c>
      <c r="L404">
        <f t="shared" si="12"/>
        <v>22</v>
      </c>
      <c r="M404">
        <f t="shared" si="13"/>
        <v>66</v>
      </c>
    </row>
    <row r="405" spans="1:13" hidden="1" x14ac:dyDescent="0.3">
      <c r="A405">
        <v>1</v>
      </c>
      <c r="B405" s="3">
        <v>43609.5</v>
      </c>
      <c r="C405" t="s">
        <v>64</v>
      </c>
      <c r="D405">
        <v>3</v>
      </c>
      <c r="E405">
        <v>4</v>
      </c>
      <c r="F405">
        <v>-0.79</v>
      </c>
      <c r="H405">
        <v>227.47156639999997</v>
      </c>
      <c r="I405" t="s">
        <v>68</v>
      </c>
      <c r="J405">
        <v>-0.37999999999999989</v>
      </c>
      <c r="K405">
        <v>20</v>
      </c>
      <c r="L405">
        <f t="shared" si="12"/>
        <v>227</v>
      </c>
      <c r="M405">
        <f t="shared" si="13"/>
        <v>682</v>
      </c>
    </row>
    <row r="406" spans="1:13" x14ac:dyDescent="0.3">
      <c r="A406">
        <v>3</v>
      </c>
      <c r="B406" s="3">
        <v>43609.5</v>
      </c>
      <c r="C406" t="s">
        <v>64</v>
      </c>
      <c r="D406">
        <v>2</v>
      </c>
      <c r="E406">
        <v>3</v>
      </c>
      <c r="F406">
        <v>0.81099999999999994</v>
      </c>
      <c r="H406">
        <v>2.6666666666666665</v>
      </c>
      <c r="I406" t="s">
        <v>50</v>
      </c>
      <c r="J406">
        <v>0.41999999999999993</v>
      </c>
      <c r="K406">
        <v>0</v>
      </c>
      <c r="L406">
        <f t="shared" si="12"/>
        <v>3</v>
      </c>
      <c r="M406">
        <f t="shared" si="13"/>
        <v>8</v>
      </c>
    </row>
    <row r="407" spans="1:13" hidden="1" x14ac:dyDescent="0.3">
      <c r="A407">
        <v>2</v>
      </c>
      <c r="B407" s="3">
        <v>43609.5</v>
      </c>
      <c r="C407" t="s">
        <v>64</v>
      </c>
      <c r="D407">
        <v>2</v>
      </c>
      <c r="E407">
        <v>3</v>
      </c>
      <c r="F407">
        <v>0.81099999999999994</v>
      </c>
      <c r="H407">
        <v>74.365704399999998</v>
      </c>
      <c r="I407" t="s">
        <v>48</v>
      </c>
      <c r="J407">
        <v>0.33000000000000007</v>
      </c>
      <c r="K407">
        <v>2</v>
      </c>
      <c r="L407">
        <f t="shared" si="12"/>
        <v>74</v>
      </c>
      <c r="M407">
        <f t="shared" si="13"/>
        <v>223</v>
      </c>
    </row>
    <row r="408" spans="1:13" hidden="1" x14ac:dyDescent="0.3">
      <c r="A408">
        <v>1</v>
      </c>
      <c r="B408" s="3">
        <v>43609.5</v>
      </c>
      <c r="C408" t="s">
        <v>64</v>
      </c>
      <c r="D408">
        <v>2</v>
      </c>
      <c r="E408">
        <v>3</v>
      </c>
      <c r="F408">
        <v>0.81099999999999994</v>
      </c>
      <c r="H408">
        <v>300.74365749999998</v>
      </c>
      <c r="I408" t="s">
        <v>68</v>
      </c>
      <c r="J408">
        <v>6.0999999999999943E-2</v>
      </c>
      <c r="K408">
        <v>0</v>
      </c>
      <c r="L408">
        <f t="shared" si="12"/>
        <v>301</v>
      </c>
      <c r="M408">
        <f t="shared" si="13"/>
        <v>902</v>
      </c>
    </row>
    <row r="409" spans="1:13" x14ac:dyDescent="0.3">
      <c r="A409">
        <v>4</v>
      </c>
      <c r="B409" s="3">
        <v>43609.5</v>
      </c>
      <c r="C409" t="s">
        <v>64</v>
      </c>
      <c r="D409">
        <v>1</v>
      </c>
      <c r="E409">
        <v>4</v>
      </c>
      <c r="F409">
        <v>8.0000000000000071E-2</v>
      </c>
      <c r="H409">
        <v>1.3333333333333333</v>
      </c>
      <c r="I409" t="s">
        <v>50</v>
      </c>
      <c r="J409">
        <v>0.12999999999999989</v>
      </c>
      <c r="K409">
        <v>0</v>
      </c>
      <c r="L409">
        <f t="shared" si="12"/>
        <v>1</v>
      </c>
      <c r="M409">
        <f t="shared" si="13"/>
        <v>4</v>
      </c>
    </row>
    <row r="410" spans="1:13" hidden="1" x14ac:dyDescent="0.3">
      <c r="A410">
        <v>3</v>
      </c>
      <c r="B410" s="3">
        <v>43609.5</v>
      </c>
      <c r="C410" t="s">
        <v>64</v>
      </c>
      <c r="D410">
        <v>1</v>
      </c>
      <c r="E410">
        <v>4</v>
      </c>
      <c r="F410">
        <v>8.0000000000000071E-2</v>
      </c>
      <c r="H410">
        <v>131.23359599999998</v>
      </c>
      <c r="I410" t="s">
        <v>47</v>
      </c>
      <c r="J410">
        <v>1.02</v>
      </c>
      <c r="K410">
        <v>1</v>
      </c>
      <c r="L410">
        <f t="shared" si="12"/>
        <v>131</v>
      </c>
      <c r="M410">
        <f t="shared" si="13"/>
        <v>394</v>
      </c>
    </row>
    <row r="411" spans="1:13" hidden="1" x14ac:dyDescent="0.3">
      <c r="A411">
        <v>2</v>
      </c>
      <c r="B411" s="3">
        <v>43609.5</v>
      </c>
      <c r="C411" t="s">
        <v>64</v>
      </c>
      <c r="D411">
        <v>1</v>
      </c>
      <c r="E411">
        <v>4</v>
      </c>
      <c r="F411">
        <v>8.0000000000000071E-2</v>
      </c>
      <c r="H411">
        <v>131.23359599999998</v>
      </c>
      <c r="I411" t="s">
        <v>60</v>
      </c>
      <c r="J411">
        <v>-0.35000000000000009</v>
      </c>
      <c r="K411">
        <v>0</v>
      </c>
      <c r="L411">
        <f t="shared" si="12"/>
        <v>131</v>
      </c>
      <c r="M411">
        <f t="shared" si="13"/>
        <v>394</v>
      </c>
    </row>
    <row r="412" spans="1:13" hidden="1" x14ac:dyDescent="0.3">
      <c r="A412">
        <v>1</v>
      </c>
      <c r="B412" s="3">
        <v>43609.5</v>
      </c>
      <c r="C412" t="s">
        <v>64</v>
      </c>
      <c r="D412">
        <v>1</v>
      </c>
      <c r="E412">
        <v>4</v>
      </c>
      <c r="F412">
        <v>8.0000000000000071E-2</v>
      </c>
      <c r="H412">
        <v>419.94750719999996</v>
      </c>
      <c r="I412" t="s">
        <v>68</v>
      </c>
      <c r="J412">
        <v>-0.71999999999999975</v>
      </c>
      <c r="K412">
        <v>0</v>
      </c>
      <c r="L412">
        <f t="shared" si="12"/>
        <v>420</v>
      </c>
      <c r="M412">
        <f t="shared" si="13"/>
        <v>1260</v>
      </c>
    </row>
    <row r="413" spans="1:13" x14ac:dyDescent="0.3">
      <c r="A413">
        <v>4</v>
      </c>
      <c r="B413" s="3">
        <v>43588.5</v>
      </c>
      <c r="C413" t="s">
        <v>55</v>
      </c>
      <c r="D413">
        <v>18</v>
      </c>
      <c r="E413">
        <v>4</v>
      </c>
      <c r="F413">
        <v>4.9999999999998934E-3</v>
      </c>
      <c r="H413">
        <v>1.0936132999999999</v>
      </c>
      <c r="I413" t="s">
        <v>50</v>
      </c>
      <c r="J413">
        <v>4.0000000000000036E-2</v>
      </c>
      <c r="K413">
        <v>0</v>
      </c>
      <c r="L413">
        <f t="shared" si="12"/>
        <v>1</v>
      </c>
      <c r="M413">
        <f t="shared" si="13"/>
        <v>3</v>
      </c>
    </row>
    <row r="414" spans="1:13" x14ac:dyDescent="0.3">
      <c r="A414">
        <v>3</v>
      </c>
      <c r="B414" s="3">
        <v>43588.5</v>
      </c>
      <c r="C414" t="s">
        <v>55</v>
      </c>
      <c r="D414">
        <v>18</v>
      </c>
      <c r="E414">
        <v>4</v>
      </c>
      <c r="F414">
        <v>4.9999999999998934E-3</v>
      </c>
      <c r="H414">
        <v>5.4680664999999991</v>
      </c>
      <c r="I414" t="s">
        <v>50</v>
      </c>
      <c r="J414">
        <v>-0.24199999999999999</v>
      </c>
      <c r="K414" t="s">
        <v>114</v>
      </c>
      <c r="L414">
        <f t="shared" si="12"/>
        <v>5</v>
      </c>
      <c r="M414">
        <f t="shared" si="13"/>
        <v>16</v>
      </c>
    </row>
    <row r="415" spans="1:13" hidden="1" x14ac:dyDescent="0.3">
      <c r="A415">
        <v>2</v>
      </c>
      <c r="B415" s="3">
        <v>43588.5</v>
      </c>
      <c r="C415" t="s">
        <v>55</v>
      </c>
      <c r="D415">
        <v>18</v>
      </c>
      <c r="E415">
        <v>4</v>
      </c>
      <c r="F415">
        <v>4.9999999999998934E-3</v>
      </c>
      <c r="H415">
        <v>125.76552949999999</v>
      </c>
      <c r="I415" t="s">
        <v>48</v>
      </c>
      <c r="J415">
        <v>5.2000000000000046E-2</v>
      </c>
      <c r="K415">
        <v>0</v>
      </c>
      <c r="L415">
        <f t="shared" si="12"/>
        <v>126</v>
      </c>
      <c r="M415">
        <f t="shared" si="13"/>
        <v>377</v>
      </c>
    </row>
    <row r="416" spans="1:13" hidden="1" x14ac:dyDescent="0.3">
      <c r="A416">
        <v>1</v>
      </c>
      <c r="B416" s="3">
        <v>43588.5</v>
      </c>
      <c r="C416" t="s">
        <v>55</v>
      </c>
      <c r="D416">
        <v>18</v>
      </c>
      <c r="E416">
        <v>4</v>
      </c>
      <c r="F416">
        <v>4.9999999999998934E-3</v>
      </c>
      <c r="H416">
        <v>377.29658849999998</v>
      </c>
      <c r="I416" t="s">
        <v>68</v>
      </c>
      <c r="J416">
        <v>0.1549999999999998</v>
      </c>
      <c r="K416">
        <v>0</v>
      </c>
      <c r="L416">
        <f t="shared" si="12"/>
        <v>377</v>
      </c>
      <c r="M416">
        <f t="shared" si="13"/>
        <v>1132</v>
      </c>
    </row>
    <row r="417" spans="1:13" x14ac:dyDescent="0.3">
      <c r="A417">
        <v>4</v>
      </c>
      <c r="B417" s="3">
        <v>43588.5</v>
      </c>
      <c r="C417" t="s">
        <v>55</v>
      </c>
      <c r="D417">
        <v>17</v>
      </c>
      <c r="E417">
        <v>4</v>
      </c>
      <c r="F417">
        <v>0.47499999999999964</v>
      </c>
      <c r="H417">
        <v>3.2808398999999997</v>
      </c>
      <c r="I417" t="s">
        <v>50</v>
      </c>
      <c r="J417">
        <v>0.56000000000000005</v>
      </c>
      <c r="K417">
        <v>0</v>
      </c>
      <c r="L417">
        <f t="shared" si="12"/>
        <v>3</v>
      </c>
      <c r="M417">
        <f t="shared" si="13"/>
        <v>10</v>
      </c>
    </row>
    <row r="418" spans="1:13" x14ac:dyDescent="0.3">
      <c r="A418">
        <v>3</v>
      </c>
      <c r="B418" s="3">
        <v>43588.5</v>
      </c>
      <c r="C418" t="s">
        <v>55</v>
      </c>
      <c r="D418">
        <v>17</v>
      </c>
      <c r="E418">
        <v>4</v>
      </c>
      <c r="F418">
        <v>0.47499999999999964</v>
      </c>
      <c r="H418">
        <v>6.5616797999999994</v>
      </c>
      <c r="I418" t="s">
        <v>50</v>
      </c>
      <c r="J418">
        <v>-0.70799999999999996</v>
      </c>
      <c r="K418" t="s">
        <v>115</v>
      </c>
      <c r="L418">
        <f t="shared" si="12"/>
        <v>7</v>
      </c>
      <c r="M418">
        <f t="shared" si="13"/>
        <v>20</v>
      </c>
    </row>
    <row r="419" spans="1:13" hidden="1" x14ac:dyDescent="0.3">
      <c r="A419">
        <v>2</v>
      </c>
      <c r="B419" s="3">
        <v>43588.5</v>
      </c>
      <c r="C419" t="s">
        <v>55</v>
      </c>
      <c r="D419">
        <v>17</v>
      </c>
      <c r="E419">
        <v>4</v>
      </c>
      <c r="F419">
        <v>0.47499999999999964</v>
      </c>
      <c r="H419">
        <v>199.03762059999997</v>
      </c>
      <c r="I419" t="s">
        <v>48</v>
      </c>
      <c r="J419">
        <v>0.33799999999999986</v>
      </c>
      <c r="K419">
        <v>0</v>
      </c>
      <c r="L419">
        <f t="shared" si="12"/>
        <v>199</v>
      </c>
      <c r="M419">
        <f t="shared" si="13"/>
        <v>597</v>
      </c>
    </row>
    <row r="420" spans="1:13" hidden="1" x14ac:dyDescent="0.3">
      <c r="A420">
        <v>1</v>
      </c>
      <c r="B420" s="3">
        <v>43588.5</v>
      </c>
      <c r="C420" t="s">
        <v>55</v>
      </c>
      <c r="D420">
        <v>17</v>
      </c>
      <c r="E420">
        <v>4</v>
      </c>
      <c r="F420">
        <v>0.47499999999999964</v>
      </c>
      <c r="H420">
        <v>474.62817219999994</v>
      </c>
      <c r="I420" t="s">
        <v>68</v>
      </c>
      <c r="J420">
        <v>0.2849999999999997</v>
      </c>
      <c r="K420">
        <v>0</v>
      </c>
      <c r="L420">
        <f t="shared" si="12"/>
        <v>475</v>
      </c>
      <c r="M420">
        <f t="shared" si="13"/>
        <v>1424</v>
      </c>
    </row>
    <row r="421" spans="1:13" x14ac:dyDescent="0.3">
      <c r="A421">
        <v>4</v>
      </c>
      <c r="B421" s="3">
        <v>43588.5</v>
      </c>
      <c r="C421" t="s">
        <v>55</v>
      </c>
      <c r="D421">
        <v>16</v>
      </c>
      <c r="E421">
        <v>4</v>
      </c>
      <c r="F421">
        <v>-6.0000000000000053E-2</v>
      </c>
      <c r="H421">
        <v>10.936132999999998</v>
      </c>
      <c r="I421" t="s">
        <v>50</v>
      </c>
      <c r="J421">
        <v>0.996</v>
      </c>
      <c r="K421">
        <v>0</v>
      </c>
      <c r="L421">
        <f t="shared" si="12"/>
        <v>11</v>
      </c>
      <c r="M421">
        <f t="shared" si="13"/>
        <v>33</v>
      </c>
    </row>
    <row r="422" spans="1:13" hidden="1" x14ac:dyDescent="0.3">
      <c r="A422">
        <v>3</v>
      </c>
      <c r="B422" s="3">
        <v>43588.5</v>
      </c>
      <c r="C422" t="s">
        <v>55</v>
      </c>
      <c r="D422">
        <v>16</v>
      </c>
      <c r="E422">
        <v>4</v>
      </c>
      <c r="F422">
        <v>-6.0000000000000053E-2</v>
      </c>
      <c r="H422">
        <v>67.804024599999991</v>
      </c>
      <c r="I422" t="s">
        <v>48</v>
      </c>
      <c r="J422">
        <v>-0.29599999999999982</v>
      </c>
      <c r="K422">
        <v>0</v>
      </c>
      <c r="L422">
        <f t="shared" si="12"/>
        <v>68</v>
      </c>
      <c r="M422">
        <f t="shared" si="13"/>
        <v>203</v>
      </c>
    </row>
    <row r="423" spans="1:13" hidden="1" x14ac:dyDescent="0.3">
      <c r="A423">
        <v>2</v>
      </c>
      <c r="B423" s="3">
        <v>43588.5</v>
      </c>
      <c r="C423" t="s">
        <v>55</v>
      </c>
      <c r="D423">
        <v>16</v>
      </c>
      <c r="E423">
        <v>4</v>
      </c>
      <c r="F423">
        <v>-6.0000000000000053E-2</v>
      </c>
      <c r="H423">
        <v>77.646544299999988</v>
      </c>
      <c r="I423" t="s">
        <v>49</v>
      </c>
      <c r="J423">
        <v>-0.45999999999999996</v>
      </c>
      <c r="K423">
        <v>0</v>
      </c>
      <c r="L423">
        <f t="shared" si="12"/>
        <v>78</v>
      </c>
      <c r="M423">
        <f t="shared" si="13"/>
        <v>233</v>
      </c>
    </row>
    <row r="424" spans="1:13" hidden="1" x14ac:dyDescent="0.3">
      <c r="A424">
        <v>1</v>
      </c>
      <c r="B424" s="3">
        <v>43588.5</v>
      </c>
      <c r="C424" t="s">
        <v>55</v>
      </c>
      <c r="D424">
        <v>16</v>
      </c>
      <c r="E424">
        <v>4</v>
      </c>
      <c r="F424">
        <v>-6.0000000000000053E-2</v>
      </c>
      <c r="H424">
        <v>351.04986929999995</v>
      </c>
      <c r="I424" t="s">
        <v>68</v>
      </c>
      <c r="J424">
        <v>-0.30000000000000027</v>
      </c>
      <c r="K424">
        <v>0</v>
      </c>
      <c r="L424">
        <f t="shared" si="12"/>
        <v>351</v>
      </c>
      <c r="M424">
        <f t="shared" si="13"/>
        <v>1053</v>
      </c>
    </row>
    <row r="425" spans="1:13" x14ac:dyDescent="0.3">
      <c r="A425">
        <v>4</v>
      </c>
      <c r="B425" s="3">
        <v>43588.5</v>
      </c>
      <c r="C425" t="s">
        <v>55</v>
      </c>
      <c r="D425">
        <v>15</v>
      </c>
      <c r="E425">
        <v>4</v>
      </c>
      <c r="F425">
        <v>-6.0000000000000053E-2</v>
      </c>
      <c r="H425">
        <v>1.0936132999999999</v>
      </c>
      <c r="I425" t="s">
        <v>50</v>
      </c>
      <c r="J425">
        <v>4.0000000000000036E-2</v>
      </c>
      <c r="K425">
        <v>0</v>
      </c>
      <c r="L425">
        <f t="shared" si="12"/>
        <v>1</v>
      </c>
      <c r="M425">
        <f t="shared" si="13"/>
        <v>3</v>
      </c>
    </row>
    <row r="426" spans="1:13" x14ac:dyDescent="0.3">
      <c r="A426">
        <v>3</v>
      </c>
      <c r="B426" s="3">
        <v>43588.5</v>
      </c>
      <c r="C426" t="s">
        <v>55</v>
      </c>
      <c r="D426">
        <v>15</v>
      </c>
      <c r="E426">
        <v>4</v>
      </c>
      <c r="F426">
        <v>-6.0000000000000053E-2</v>
      </c>
      <c r="H426">
        <v>3.2808398999999997</v>
      </c>
      <c r="I426" t="s">
        <v>50</v>
      </c>
      <c r="J426">
        <v>-0.48</v>
      </c>
      <c r="K426" t="s">
        <v>115</v>
      </c>
      <c r="L426">
        <f t="shared" si="12"/>
        <v>3</v>
      </c>
      <c r="M426">
        <f t="shared" si="13"/>
        <v>10</v>
      </c>
    </row>
    <row r="427" spans="1:13" hidden="1" x14ac:dyDescent="0.3">
      <c r="A427">
        <v>2</v>
      </c>
      <c r="B427" s="3">
        <v>43588.5</v>
      </c>
      <c r="C427" t="s">
        <v>55</v>
      </c>
      <c r="D427">
        <v>15</v>
      </c>
      <c r="E427">
        <v>4</v>
      </c>
      <c r="F427">
        <v>-6.0000000000000053E-2</v>
      </c>
      <c r="H427">
        <v>20.778652699999999</v>
      </c>
      <c r="I427" t="s">
        <v>47</v>
      </c>
      <c r="J427">
        <v>2.9999999999999805E-2</v>
      </c>
      <c r="K427">
        <v>0</v>
      </c>
      <c r="L427">
        <f t="shared" si="12"/>
        <v>21</v>
      </c>
      <c r="M427">
        <f t="shared" si="13"/>
        <v>62</v>
      </c>
    </row>
    <row r="428" spans="1:13" hidden="1" x14ac:dyDescent="0.3">
      <c r="A428">
        <v>1</v>
      </c>
      <c r="B428" s="3">
        <v>43588.5</v>
      </c>
      <c r="C428" t="s">
        <v>55</v>
      </c>
      <c r="D428">
        <v>15</v>
      </c>
      <c r="E428">
        <v>4</v>
      </c>
      <c r="F428">
        <v>-6.0000000000000053E-2</v>
      </c>
      <c r="H428">
        <v>351.04986929999995</v>
      </c>
      <c r="I428" t="s">
        <v>68</v>
      </c>
      <c r="J428">
        <v>0.35000000000000009</v>
      </c>
      <c r="K428">
        <v>0</v>
      </c>
      <c r="L428">
        <f t="shared" si="12"/>
        <v>351</v>
      </c>
      <c r="M428">
        <f t="shared" si="13"/>
        <v>1053</v>
      </c>
    </row>
    <row r="429" spans="1:13" x14ac:dyDescent="0.3">
      <c r="A429">
        <v>3</v>
      </c>
      <c r="B429" s="3">
        <v>43588.5</v>
      </c>
      <c r="C429" t="s">
        <v>55</v>
      </c>
      <c r="D429">
        <v>14</v>
      </c>
      <c r="E429">
        <v>3</v>
      </c>
      <c r="F429">
        <v>4.9999999999999822E-2</v>
      </c>
      <c r="H429">
        <v>3.2808398999999997</v>
      </c>
      <c r="I429" t="s">
        <v>50</v>
      </c>
      <c r="J429">
        <v>0.56000000000000005</v>
      </c>
      <c r="K429">
        <v>0</v>
      </c>
      <c r="L429">
        <f t="shared" si="12"/>
        <v>3</v>
      </c>
      <c r="M429">
        <f t="shared" si="13"/>
        <v>10</v>
      </c>
    </row>
    <row r="430" spans="1:13" hidden="1" x14ac:dyDescent="0.3">
      <c r="A430">
        <v>2</v>
      </c>
      <c r="B430" s="3">
        <v>43588.5</v>
      </c>
      <c r="C430" t="s">
        <v>55</v>
      </c>
      <c r="D430">
        <v>14</v>
      </c>
      <c r="E430">
        <v>3</v>
      </c>
      <c r="F430">
        <v>4.9999999999999822E-2</v>
      </c>
      <c r="H430">
        <v>8.7489063999999992</v>
      </c>
      <c r="I430" t="s">
        <v>48</v>
      </c>
      <c r="J430">
        <v>-0.53000000000000025</v>
      </c>
      <c r="K430">
        <v>0</v>
      </c>
      <c r="L430">
        <f t="shared" si="12"/>
        <v>9</v>
      </c>
      <c r="M430">
        <f t="shared" si="13"/>
        <v>26</v>
      </c>
    </row>
    <row r="431" spans="1:13" hidden="1" x14ac:dyDescent="0.3">
      <c r="A431">
        <v>1</v>
      </c>
      <c r="B431" s="3">
        <v>43588.5</v>
      </c>
      <c r="C431" t="s">
        <v>55</v>
      </c>
      <c r="D431">
        <v>14</v>
      </c>
      <c r="E431">
        <v>3</v>
      </c>
      <c r="F431">
        <v>4.9999999999999822E-2</v>
      </c>
      <c r="H431">
        <v>170.60367479999999</v>
      </c>
      <c r="I431" t="s">
        <v>68</v>
      </c>
      <c r="J431">
        <v>2.0000000000000018E-2</v>
      </c>
      <c r="K431">
        <v>0</v>
      </c>
      <c r="L431">
        <f t="shared" si="12"/>
        <v>171</v>
      </c>
      <c r="M431">
        <f t="shared" si="13"/>
        <v>512</v>
      </c>
    </row>
    <row r="432" spans="1:13" x14ac:dyDescent="0.3">
      <c r="A432">
        <v>4</v>
      </c>
      <c r="B432" s="3">
        <v>43588.5</v>
      </c>
      <c r="C432" t="s">
        <v>55</v>
      </c>
      <c r="D432">
        <v>13</v>
      </c>
      <c r="E432">
        <v>4</v>
      </c>
      <c r="F432">
        <v>-8.0000000000000071E-2</v>
      </c>
      <c r="H432">
        <v>1.0936132999999999</v>
      </c>
      <c r="I432" t="s">
        <v>50</v>
      </c>
      <c r="J432">
        <v>4.0000000000000036E-2</v>
      </c>
      <c r="K432">
        <v>0</v>
      </c>
      <c r="L432">
        <f t="shared" si="12"/>
        <v>1</v>
      </c>
      <c r="M432">
        <f t="shared" si="13"/>
        <v>3</v>
      </c>
    </row>
    <row r="433" spans="1:13" x14ac:dyDescent="0.3">
      <c r="A433">
        <v>3</v>
      </c>
      <c r="B433" s="3">
        <v>43588.5</v>
      </c>
      <c r="C433" t="s">
        <v>55</v>
      </c>
      <c r="D433">
        <v>13</v>
      </c>
      <c r="E433">
        <v>4</v>
      </c>
      <c r="F433">
        <v>-8.0000000000000071E-2</v>
      </c>
      <c r="H433">
        <v>3.2808398999999997</v>
      </c>
      <c r="I433" t="s">
        <v>50</v>
      </c>
      <c r="J433">
        <v>-0.48</v>
      </c>
      <c r="K433" t="s">
        <v>115</v>
      </c>
      <c r="L433">
        <f t="shared" si="12"/>
        <v>3</v>
      </c>
      <c r="M433">
        <f t="shared" si="13"/>
        <v>10</v>
      </c>
    </row>
    <row r="434" spans="1:13" hidden="1" x14ac:dyDescent="0.3">
      <c r="A434">
        <v>2</v>
      </c>
      <c r="B434" s="3">
        <v>43588.5</v>
      </c>
      <c r="C434" t="s">
        <v>55</v>
      </c>
      <c r="D434">
        <v>13</v>
      </c>
      <c r="E434">
        <v>4</v>
      </c>
      <c r="F434">
        <v>-8.0000000000000071E-2</v>
      </c>
      <c r="H434">
        <v>152.01224869999999</v>
      </c>
      <c r="I434" t="s">
        <v>48</v>
      </c>
      <c r="J434">
        <v>0.41999999999999993</v>
      </c>
      <c r="K434">
        <v>0</v>
      </c>
      <c r="L434">
        <f t="shared" si="12"/>
        <v>152</v>
      </c>
      <c r="M434">
        <f t="shared" si="13"/>
        <v>456</v>
      </c>
    </row>
    <row r="435" spans="1:13" hidden="1" x14ac:dyDescent="0.3">
      <c r="A435">
        <v>1</v>
      </c>
      <c r="B435" s="3">
        <v>43588.5</v>
      </c>
      <c r="C435" t="s">
        <v>55</v>
      </c>
      <c r="D435">
        <v>13</v>
      </c>
      <c r="E435">
        <v>4</v>
      </c>
      <c r="F435">
        <v>-8.0000000000000071E-2</v>
      </c>
      <c r="H435">
        <v>332.45844319999998</v>
      </c>
      <c r="I435" t="s">
        <v>68</v>
      </c>
      <c r="J435">
        <v>-6.0000000000000053E-2</v>
      </c>
      <c r="K435">
        <v>0</v>
      </c>
      <c r="L435">
        <f t="shared" si="12"/>
        <v>332</v>
      </c>
      <c r="M435">
        <f t="shared" si="13"/>
        <v>997</v>
      </c>
    </row>
    <row r="436" spans="1:13" x14ac:dyDescent="0.3">
      <c r="A436">
        <v>3</v>
      </c>
      <c r="B436" s="3">
        <v>43588.5</v>
      </c>
      <c r="C436" t="s">
        <v>55</v>
      </c>
      <c r="D436">
        <v>12</v>
      </c>
      <c r="E436">
        <v>3</v>
      </c>
      <c r="F436">
        <v>0.82500000000000018</v>
      </c>
      <c r="H436">
        <v>1.0936132999999999</v>
      </c>
      <c r="I436" t="s">
        <v>50</v>
      </c>
      <c r="J436">
        <v>4.0000000000000036E-2</v>
      </c>
      <c r="K436">
        <v>0</v>
      </c>
      <c r="L436">
        <f t="shared" si="12"/>
        <v>1</v>
      </c>
      <c r="M436">
        <f t="shared" si="13"/>
        <v>3</v>
      </c>
    </row>
    <row r="437" spans="1:13" hidden="1" x14ac:dyDescent="0.3">
      <c r="A437">
        <v>2</v>
      </c>
      <c r="B437" s="3">
        <v>43588.5</v>
      </c>
      <c r="C437" t="s">
        <v>55</v>
      </c>
      <c r="D437">
        <v>12</v>
      </c>
      <c r="E437">
        <v>3</v>
      </c>
      <c r="F437">
        <v>0.82500000000000018</v>
      </c>
      <c r="H437">
        <v>8.7489063999999992</v>
      </c>
      <c r="I437" t="s">
        <v>48</v>
      </c>
      <c r="J437">
        <v>-1.0000000000000231E-2</v>
      </c>
      <c r="K437">
        <v>0</v>
      </c>
      <c r="L437">
        <f t="shared" si="12"/>
        <v>9</v>
      </c>
      <c r="M437">
        <f t="shared" si="13"/>
        <v>26</v>
      </c>
    </row>
    <row r="438" spans="1:13" hidden="1" x14ac:dyDescent="0.3">
      <c r="A438">
        <v>1</v>
      </c>
      <c r="B438" s="3">
        <v>43588.5</v>
      </c>
      <c r="C438" t="s">
        <v>55</v>
      </c>
      <c r="D438">
        <v>12</v>
      </c>
      <c r="E438">
        <v>3</v>
      </c>
      <c r="F438">
        <v>0.82500000000000018</v>
      </c>
      <c r="H438">
        <v>309.49256389999999</v>
      </c>
      <c r="I438" t="s">
        <v>68</v>
      </c>
      <c r="J438">
        <v>0.79500000000000037</v>
      </c>
      <c r="K438">
        <v>0</v>
      </c>
      <c r="L438">
        <f t="shared" si="12"/>
        <v>309</v>
      </c>
      <c r="M438">
        <f t="shared" si="13"/>
        <v>928</v>
      </c>
    </row>
    <row r="439" spans="1:13" x14ac:dyDescent="0.3">
      <c r="A439">
        <v>3</v>
      </c>
      <c r="B439" s="3">
        <v>43588.5</v>
      </c>
      <c r="C439" t="s">
        <v>55</v>
      </c>
      <c r="D439">
        <v>11</v>
      </c>
      <c r="E439">
        <v>3</v>
      </c>
      <c r="F439">
        <v>4.9999999999999822E-2</v>
      </c>
      <c r="H439">
        <v>1.0936132999999999</v>
      </c>
      <c r="I439" t="s">
        <v>50</v>
      </c>
      <c r="J439">
        <v>4.0000000000000036E-2</v>
      </c>
      <c r="K439">
        <v>0</v>
      </c>
      <c r="L439">
        <f t="shared" si="12"/>
        <v>1</v>
      </c>
      <c r="M439">
        <f t="shared" si="13"/>
        <v>3</v>
      </c>
    </row>
    <row r="440" spans="1:13" hidden="1" x14ac:dyDescent="0.3">
      <c r="A440">
        <v>2</v>
      </c>
      <c r="B440" s="3">
        <v>43588.5</v>
      </c>
      <c r="C440" t="s">
        <v>55</v>
      </c>
      <c r="D440">
        <v>11</v>
      </c>
      <c r="E440">
        <v>3</v>
      </c>
      <c r="F440">
        <v>4.9999999999999822E-2</v>
      </c>
      <c r="H440">
        <v>17.497812799999998</v>
      </c>
      <c r="I440" t="s">
        <v>48</v>
      </c>
      <c r="J440">
        <v>0.25</v>
      </c>
      <c r="K440">
        <v>0</v>
      </c>
      <c r="L440">
        <f t="shared" si="12"/>
        <v>17</v>
      </c>
      <c r="M440">
        <f t="shared" si="13"/>
        <v>52</v>
      </c>
    </row>
    <row r="441" spans="1:13" hidden="1" x14ac:dyDescent="0.3">
      <c r="A441">
        <v>1</v>
      </c>
      <c r="B441" s="3">
        <v>43588.5</v>
      </c>
      <c r="C441" t="s">
        <v>55</v>
      </c>
      <c r="D441">
        <v>11</v>
      </c>
      <c r="E441">
        <v>3</v>
      </c>
      <c r="F441">
        <v>4.9999999999999822E-2</v>
      </c>
      <c r="H441">
        <v>166.22922159999999</v>
      </c>
      <c r="I441" t="s">
        <v>68</v>
      </c>
      <c r="J441">
        <v>-0.24000000000000021</v>
      </c>
      <c r="K441">
        <v>0</v>
      </c>
      <c r="L441">
        <f t="shared" si="12"/>
        <v>166</v>
      </c>
      <c r="M441">
        <f t="shared" si="13"/>
        <v>499</v>
      </c>
    </row>
    <row r="442" spans="1:13" x14ac:dyDescent="0.3">
      <c r="A442">
        <v>4</v>
      </c>
      <c r="B442" s="3">
        <v>43588.5</v>
      </c>
      <c r="C442" t="s">
        <v>55</v>
      </c>
      <c r="D442">
        <v>10</v>
      </c>
      <c r="E442">
        <v>4</v>
      </c>
      <c r="F442">
        <v>8.0000000000000071E-2</v>
      </c>
      <c r="H442">
        <v>1.0936132999999999</v>
      </c>
      <c r="I442" t="s">
        <v>50</v>
      </c>
      <c r="J442">
        <v>4.0000000000000036E-2</v>
      </c>
      <c r="K442">
        <v>0</v>
      </c>
      <c r="L442">
        <f t="shared" si="12"/>
        <v>1</v>
      </c>
      <c r="M442">
        <f t="shared" si="13"/>
        <v>3</v>
      </c>
    </row>
    <row r="443" spans="1:13" x14ac:dyDescent="0.3">
      <c r="A443">
        <v>3</v>
      </c>
      <c r="B443" s="3">
        <v>43588.5</v>
      </c>
      <c r="C443" t="s">
        <v>55</v>
      </c>
      <c r="D443">
        <v>10</v>
      </c>
      <c r="E443">
        <v>4</v>
      </c>
      <c r="F443">
        <v>8.0000000000000071E-2</v>
      </c>
      <c r="H443">
        <v>6.5616797999999994</v>
      </c>
      <c r="I443" t="s">
        <v>50</v>
      </c>
      <c r="J443">
        <v>-0.18799999999999994</v>
      </c>
      <c r="K443" t="s">
        <v>115</v>
      </c>
      <c r="L443">
        <f t="shared" si="12"/>
        <v>7</v>
      </c>
      <c r="M443">
        <f t="shared" si="13"/>
        <v>20</v>
      </c>
    </row>
    <row r="444" spans="1:13" hidden="1" x14ac:dyDescent="0.3">
      <c r="A444">
        <v>2</v>
      </c>
      <c r="B444" s="3">
        <v>43588.5</v>
      </c>
      <c r="C444" t="s">
        <v>55</v>
      </c>
      <c r="D444">
        <v>10</v>
      </c>
      <c r="E444">
        <v>4</v>
      </c>
      <c r="F444">
        <v>8.0000000000000071E-2</v>
      </c>
      <c r="H444">
        <v>120.29746299999999</v>
      </c>
      <c r="I444" t="s">
        <v>48</v>
      </c>
      <c r="J444">
        <v>-2.0000000000000018E-3</v>
      </c>
      <c r="K444">
        <v>0</v>
      </c>
      <c r="L444">
        <f t="shared" si="12"/>
        <v>120</v>
      </c>
      <c r="M444">
        <f t="shared" si="13"/>
        <v>361</v>
      </c>
    </row>
    <row r="445" spans="1:13" hidden="1" x14ac:dyDescent="0.3">
      <c r="A445">
        <v>1</v>
      </c>
      <c r="B445" s="3">
        <v>43588.5</v>
      </c>
      <c r="C445" t="s">
        <v>55</v>
      </c>
      <c r="D445">
        <v>10</v>
      </c>
      <c r="E445">
        <v>4</v>
      </c>
      <c r="F445">
        <v>8.0000000000000071E-2</v>
      </c>
      <c r="H445">
        <v>403.54330769999996</v>
      </c>
      <c r="I445" t="s">
        <v>68</v>
      </c>
      <c r="J445">
        <v>0.22999999999999998</v>
      </c>
      <c r="K445">
        <v>0</v>
      </c>
      <c r="L445">
        <f t="shared" si="12"/>
        <v>404</v>
      </c>
      <c r="M445">
        <f t="shared" si="13"/>
        <v>1211</v>
      </c>
    </row>
    <row r="446" spans="1:13" x14ac:dyDescent="0.3">
      <c r="A446">
        <v>3</v>
      </c>
      <c r="B446" s="3">
        <v>43588.5</v>
      </c>
      <c r="C446" t="s">
        <v>55</v>
      </c>
      <c r="D446">
        <v>9</v>
      </c>
      <c r="E446">
        <v>3</v>
      </c>
      <c r="F446">
        <v>0.16999999999999993</v>
      </c>
      <c r="H446">
        <v>0.33333333333333331</v>
      </c>
      <c r="I446" t="s">
        <v>50</v>
      </c>
      <c r="J446">
        <v>1.0000000000000009E-2</v>
      </c>
      <c r="K446">
        <v>0</v>
      </c>
      <c r="L446">
        <f t="shared" si="12"/>
        <v>0</v>
      </c>
      <c r="M446">
        <f t="shared" si="13"/>
        <v>1</v>
      </c>
    </row>
    <row r="447" spans="1:13" x14ac:dyDescent="0.3">
      <c r="A447">
        <v>2</v>
      </c>
      <c r="B447" s="3">
        <v>43588.5</v>
      </c>
      <c r="C447" t="s">
        <v>55</v>
      </c>
      <c r="D447">
        <v>9</v>
      </c>
      <c r="E447">
        <v>3</v>
      </c>
      <c r="F447">
        <v>0.16999999999999993</v>
      </c>
      <c r="H447">
        <v>4.3744531999999996</v>
      </c>
      <c r="I447" t="s">
        <v>50</v>
      </c>
      <c r="J447">
        <v>-0.29800000000000004</v>
      </c>
      <c r="K447" t="s">
        <v>115</v>
      </c>
      <c r="L447">
        <f t="shared" si="12"/>
        <v>4</v>
      </c>
      <c r="M447">
        <f t="shared" si="13"/>
        <v>13</v>
      </c>
    </row>
    <row r="448" spans="1:13" hidden="1" x14ac:dyDescent="0.3">
      <c r="A448">
        <v>1</v>
      </c>
      <c r="B448" s="3">
        <v>43588.5</v>
      </c>
      <c r="C448" t="s">
        <v>55</v>
      </c>
      <c r="D448">
        <v>9</v>
      </c>
      <c r="E448">
        <v>3</v>
      </c>
      <c r="F448">
        <v>0.16999999999999993</v>
      </c>
      <c r="H448">
        <v>207.78652699999998</v>
      </c>
      <c r="I448" t="s">
        <v>68</v>
      </c>
      <c r="J448">
        <v>0.45799999999999996</v>
      </c>
      <c r="K448">
        <v>0</v>
      </c>
      <c r="L448">
        <f t="shared" si="12"/>
        <v>208</v>
      </c>
      <c r="M448">
        <f t="shared" si="13"/>
        <v>623</v>
      </c>
    </row>
    <row r="449" spans="1:13" x14ac:dyDescent="0.3">
      <c r="A449">
        <v>5</v>
      </c>
      <c r="B449" s="3">
        <v>43588.5</v>
      </c>
      <c r="C449" t="s">
        <v>55</v>
      </c>
      <c r="D449">
        <v>8</v>
      </c>
      <c r="E449">
        <v>5</v>
      </c>
      <c r="F449">
        <v>-0.77500000000000036</v>
      </c>
      <c r="H449">
        <v>1.0936132999999999</v>
      </c>
      <c r="I449" t="s">
        <v>50</v>
      </c>
      <c r="J449">
        <v>4.0000000000000036E-2</v>
      </c>
      <c r="K449">
        <v>0</v>
      </c>
      <c r="L449">
        <f t="shared" si="12"/>
        <v>1</v>
      </c>
      <c r="M449">
        <f t="shared" si="13"/>
        <v>3</v>
      </c>
    </row>
    <row r="450" spans="1:13" x14ac:dyDescent="0.3">
      <c r="A450">
        <v>4</v>
      </c>
      <c r="B450" s="3">
        <v>43588.5</v>
      </c>
      <c r="C450" t="s">
        <v>55</v>
      </c>
      <c r="D450">
        <v>8</v>
      </c>
      <c r="E450">
        <v>5</v>
      </c>
      <c r="F450">
        <v>-0.77500000000000036</v>
      </c>
      <c r="H450">
        <v>15.310586199999999</v>
      </c>
      <c r="I450" t="s">
        <v>50</v>
      </c>
      <c r="J450">
        <v>6.800000000000006E-2</v>
      </c>
      <c r="K450" t="s">
        <v>114</v>
      </c>
      <c r="L450">
        <f t="shared" ref="L450:L513" si="14">ROUND(H450,0)</f>
        <v>15</v>
      </c>
      <c r="M450">
        <f t="shared" ref="M450:M513" si="15">ROUND(H450*3,0)</f>
        <v>46</v>
      </c>
    </row>
    <row r="451" spans="1:13" hidden="1" x14ac:dyDescent="0.3">
      <c r="A451">
        <v>3</v>
      </c>
      <c r="B451" s="3">
        <v>43588.5</v>
      </c>
      <c r="C451" t="s">
        <v>55</v>
      </c>
      <c r="D451">
        <v>8</v>
      </c>
      <c r="E451">
        <v>5</v>
      </c>
      <c r="F451">
        <v>-0.77500000000000036</v>
      </c>
      <c r="H451">
        <v>54.680664999999998</v>
      </c>
      <c r="I451" t="s">
        <v>49</v>
      </c>
      <c r="J451">
        <v>-0.28800000000000026</v>
      </c>
      <c r="K451">
        <v>0</v>
      </c>
      <c r="L451">
        <f t="shared" si="14"/>
        <v>55</v>
      </c>
      <c r="M451">
        <f t="shared" si="15"/>
        <v>164</v>
      </c>
    </row>
    <row r="452" spans="1:13" hidden="1" x14ac:dyDescent="0.3">
      <c r="A452">
        <v>2</v>
      </c>
      <c r="B452" s="3">
        <v>43588.5</v>
      </c>
      <c r="C452" t="s">
        <v>55</v>
      </c>
      <c r="D452">
        <v>8</v>
      </c>
      <c r="E452">
        <v>5</v>
      </c>
      <c r="F452">
        <v>-0.77500000000000036</v>
      </c>
      <c r="H452">
        <v>202.31846049999999</v>
      </c>
      <c r="I452" t="s">
        <v>48</v>
      </c>
      <c r="J452">
        <v>-0.5</v>
      </c>
      <c r="K452">
        <v>0</v>
      </c>
      <c r="L452">
        <f t="shared" si="14"/>
        <v>202</v>
      </c>
      <c r="M452">
        <f t="shared" si="15"/>
        <v>607</v>
      </c>
    </row>
    <row r="453" spans="1:13" hidden="1" x14ac:dyDescent="0.3">
      <c r="A453">
        <v>1</v>
      </c>
      <c r="B453" s="3">
        <v>43588.5</v>
      </c>
      <c r="C453" t="s">
        <v>55</v>
      </c>
      <c r="D453">
        <v>8</v>
      </c>
      <c r="E453">
        <v>5</v>
      </c>
      <c r="F453">
        <v>-0.77500000000000036</v>
      </c>
      <c r="H453">
        <v>434.16448009999993</v>
      </c>
      <c r="I453" t="s">
        <v>68</v>
      </c>
      <c r="J453">
        <v>-9.5000000000000195E-2</v>
      </c>
      <c r="K453">
        <v>0</v>
      </c>
      <c r="L453">
        <f t="shared" si="14"/>
        <v>434</v>
      </c>
      <c r="M453">
        <f t="shared" si="15"/>
        <v>1302</v>
      </c>
    </row>
    <row r="454" spans="1:13" x14ac:dyDescent="0.3">
      <c r="A454">
        <v>4</v>
      </c>
      <c r="B454" s="3">
        <v>43588.5</v>
      </c>
      <c r="C454" t="s">
        <v>55</v>
      </c>
      <c r="D454">
        <v>7</v>
      </c>
      <c r="E454">
        <v>4</v>
      </c>
      <c r="F454">
        <v>0.59750000000000014</v>
      </c>
      <c r="H454">
        <v>6.5616797999999994</v>
      </c>
      <c r="I454" t="s">
        <v>50</v>
      </c>
      <c r="J454">
        <v>0.85200000000000009</v>
      </c>
      <c r="K454">
        <v>0</v>
      </c>
      <c r="L454">
        <f t="shared" si="14"/>
        <v>7</v>
      </c>
      <c r="M454">
        <f t="shared" si="15"/>
        <v>20</v>
      </c>
    </row>
    <row r="455" spans="1:13" hidden="1" x14ac:dyDescent="0.3">
      <c r="A455">
        <v>3</v>
      </c>
      <c r="B455" s="3">
        <v>43588.5</v>
      </c>
      <c r="C455" t="s">
        <v>55</v>
      </c>
      <c r="D455">
        <v>7</v>
      </c>
      <c r="E455">
        <v>4</v>
      </c>
      <c r="F455">
        <v>0.59750000000000014</v>
      </c>
      <c r="H455">
        <v>85.301837399999997</v>
      </c>
      <c r="I455" t="s">
        <v>49</v>
      </c>
      <c r="J455">
        <v>0.38800000000000012</v>
      </c>
      <c r="K455">
        <v>0</v>
      </c>
      <c r="L455">
        <f t="shared" si="14"/>
        <v>85</v>
      </c>
      <c r="M455">
        <f t="shared" si="15"/>
        <v>256</v>
      </c>
    </row>
    <row r="456" spans="1:13" hidden="1" x14ac:dyDescent="0.3">
      <c r="A456">
        <v>2</v>
      </c>
      <c r="B456" s="3">
        <v>43588.5</v>
      </c>
      <c r="C456" t="s">
        <v>55</v>
      </c>
      <c r="D456">
        <v>7</v>
      </c>
      <c r="E456">
        <v>4</v>
      </c>
      <c r="F456">
        <v>0.59750000000000014</v>
      </c>
      <c r="H456">
        <v>196.85039399999999</v>
      </c>
      <c r="I456" t="s">
        <v>48</v>
      </c>
      <c r="J456">
        <v>-1.0500000000000003</v>
      </c>
      <c r="K456">
        <v>0</v>
      </c>
      <c r="L456">
        <f t="shared" si="14"/>
        <v>197</v>
      </c>
      <c r="M456">
        <f t="shared" si="15"/>
        <v>591</v>
      </c>
    </row>
    <row r="457" spans="1:13" hidden="1" x14ac:dyDescent="0.3">
      <c r="A457">
        <v>1</v>
      </c>
      <c r="B457" s="3">
        <v>43588.5</v>
      </c>
      <c r="C457" t="s">
        <v>55</v>
      </c>
      <c r="D457">
        <v>7</v>
      </c>
      <c r="E457">
        <v>4</v>
      </c>
      <c r="F457">
        <v>0.59750000000000014</v>
      </c>
      <c r="H457">
        <v>486.65791849999994</v>
      </c>
      <c r="I457" t="s">
        <v>68</v>
      </c>
      <c r="J457">
        <v>0.4075000000000002</v>
      </c>
      <c r="K457">
        <v>0</v>
      </c>
      <c r="L457">
        <f t="shared" si="14"/>
        <v>487</v>
      </c>
      <c r="M457">
        <f t="shared" si="15"/>
        <v>1460</v>
      </c>
    </row>
    <row r="458" spans="1:13" x14ac:dyDescent="0.3">
      <c r="A458">
        <v>5</v>
      </c>
      <c r="B458" s="3">
        <v>43588.5</v>
      </c>
      <c r="C458" t="s">
        <v>55</v>
      </c>
      <c r="D458">
        <v>6</v>
      </c>
      <c r="E458">
        <v>5</v>
      </c>
      <c r="F458">
        <v>-0.17999999999999972</v>
      </c>
      <c r="H458">
        <v>1.0936132999999999</v>
      </c>
      <c r="I458" t="s">
        <v>50</v>
      </c>
      <c r="J458">
        <v>4.0000000000000036E-2</v>
      </c>
      <c r="K458">
        <v>0</v>
      </c>
      <c r="L458">
        <f t="shared" si="14"/>
        <v>1</v>
      </c>
      <c r="M458">
        <f t="shared" si="15"/>
        <v>3</v>
      </c>
    </row>
    <row r="459" spans="1:13" hidden="1" x14ac:dyDescent="0.3">
      <c r="A459">
        <v>4</v>
      </c>
      <c r="B459" s="3">
        <v>43588.5</v>
      </c>
      <c r="C459" t="s">
        <v>55</v>
      </c>
      <c r="D459">
        <v>6</v>
      </c>
      <c r="E459">
        <v>5</v>
      </c>
      <c r="F459">
        <v>-0.17999999999999972</v>
      </c>
      <c r="H459">
        <v>75.4593177</v>
      </c>
      <c r="I459" t="s">
        <v>48</v>
      </c>
      <c r="J459">
        <v>0.71</v>
      </c>
      <c r="K459">
        <v>0</v>
      </c>
      <c r="L459">
        <f t="shared" si="14"/>
        <v>75</v>
      </c>
      <c r="M459">
        <f t="shared" si="15"/>
        <v>226</v>
      </c>
    </row>
    <row r="460" spans="1:13" hidden="1" x14ac:dyDescent="0.3">
      <c r="A460">
        <v>3</v>
      </c>
      <c r="B460" s="3">
        <v>43588.5</v>
      </c>
      <c r="C460" t="s">
        <v>55</v>
      </c>
      <c r="D460">
        <v>6</v>
      </c>
      <c r="E460">
        <v>5</v>
      </c>
      <c r="F460">
        <v>-0.17999999999999972</v>
      </c>
      <c r="H460">
        <v>85.301837399999997</v>
      </c>
      <c r="I460" t="s">
        <v>48</v>
      </c>
      <c r="J460">
        <v>-1</v>
      </c>
      <c r="K460">
        <v>0</v>
      </c>
      <c r="L460">
        <f t="shared" si="14"/>
        <v>85</v>
      </c>
      <c r="M460">
        <f t="shared" si="15"/>
        <v>256</v>
      </c>
    </row>
    <row r="461" spans="1:13" hidden="1" x14ac:dyDescent="0.3">
      <c r="A461">
        <v>2</v>
      </c>
      <c r="B461" s="3">
        <v>43588.5</v>
      </c>
      <c r="C461" t="s">
        <v>55</v>
      </c>
      <c r="D461">
        <v>6</v>
      </c>
      <c r="E461">
        <v>5</v>
      </c>
      <c r="F461">
        <v>-0.17999999999999972</v>
      </c>
      <c r="H461">
        <v>317.14785699999999</v>
      </c>
      <c r="I461" t="s">
        <v>48</v>
      </c>
      <c r="J461">
        <v>0.12999999999999989</v>
      </c>
      <c r="K461">
        <v>0</v>
      </c>
      <c r="L461">
        <f t="shared" si="14"/>
        <v>317</v>
      </c>
      <c r="M461">
        <f t="shared" si="15"/>
        <v>951</v>
      </c>
    </row>
    <row r="462" spans="1:13" hidden="1" x14ac:dyDescent="0.3">
      <c r="A462">
        <v>1</v>
      </c>
      <c r="B462" s="3">
        <v>43588.5</v>
      </c>
      <c r="C462" t="s">
        <v>55</v>
      </c>
      <c r="D462">
        <v>6</v>
      </c>
      <c r="E462">
        <v>5</v>
      </c>
      <c r="F462">
        <v>-0.17999999999999972</v>
      </c>
      <c r="H462">
        <v>575.24059579999994</v>
      </c>
      <c r="I462" t="s">
        <v>68</v>
      </c>
      <c r="J462">
        <v>-5.9999999999999609E-2</v>
      </c>
      <c r="K462">
        <v>0</v>
      </c>
      <c r="L462">
        <f t="shared" si="14"/>
        <v>575</v>
      </c>
      <c r="M462">
        <f t="shared" si="15"/>
        <v>1726</v>
      </c>
    </row>
    <row r="463" spans="1:13" x14ac:dyDescent="0.3">
      <c r="A463">
        <v>4</v>
      </c>
      <c r="B463" s="3">
        <v>43588.5</v>
      </c>
      <c r="C463" t="s">
        <v>55</v>
      </c>
      <c r="D463">
        <v>5</v>
      </c>
      <c r="E463">
        <v>4</v>
      </c>
      <c r="F463">
        <v>8.3000000000000185E-2</v>
      </c>
      <c r="H463">
        <v>2.1872265999999998</v>
      </c>
      <c r="I463" t="s">
        <v>50</v>
      </c>
      <c r="J463">
        <v>0.34000000000000008</v>
      </c>
      <c r="K463">
        <v>0</v>
      </c>
      <c r="L463">
        <f t="shared" si="14"/>
        <v>2</v>
      </c>
      <c r="M463">
        <f t="shared" si="15"/>
        <v>7</v>
      </c>
    </row>
    <row r="464" spans="1:13" hidden="1" x14ac:dyDescent="0.3">
      <c r="A464">
        <v>3</v>
      </c>
      <c r="B464" s="3">
        <v>43588.5</v>
      </c>
      <c r="C464" t="s">
        <v>55</v>
      </c>
      <c r="D464">
        <v>5</v>
      </c>
      <c r="E464">
        <v>4</v>
      </c>
      <c r="F464">
        <v>8.3000000000000185E-2</v>
      </c>
      <c r="H464">
        <v>10.936132999999998</v>
      </c>
      <c r="I464" t="s">
        <v>48</v>
      </c>
      <c r="J464">
        <v>-0.15999999999999992</v>
      </c>
      <c r="K464">
        <v>0</v>
      </c>
      <c r="L464">
        <f t="shared" si="14"/>
        <v>11</v>
      </c>
      <c r="M464">
        <f t="shared" si="15"/>
        <v>33</v>
      </c>
    </row>
    <row r="465" spans="1:13" hidden="1" x14ac:dyDescent="0.3">
      <c r="A465">
        <v>2</v>
      </c>
      <c r="B465" s="3">
        <v>43588.5</v>
      </c>
      <c r="C465" t="s">
        <v>55</v>
      </c>
      <c r="D465">
        <v>5</v>
      </c>
      <c r="E465">
        <v>4</v>
      </c>
      <c r="F465">
        <v>8.3000000000000185E-2</v>
      </c>
      <c r="H465">
        <v>147.63779549999998</v>
      </c>
      <c r="I465" t="s">
        <v>48</v>
      </c>
      <c r="J465">
        <v>-0.20000000000000018</v>
      </c>
      <c r="K465">
        <v>0</v>
      </c>
      <c r="L465">
        <f t="shared" si="14"/>
        <v>148</v>
      </c>
      <c r="M465">
        <f t="shared" si="15"/>
        <v>443</v>
      </c>
    </row>
    <row r="466" spans="1:13" hidden="1" x14ac:dyDescent="0.3">
      <c r="A466">
        <v>1</v>
      </c>
      <c r="B466" s="3">
        <v>43588.5</v>
      </c>
      <c r="C466" t="s">
        <v>55</v>
      </c>
      <c r="D466">
        <v>5</v>
      </c>
      <c r="E466">
        <v>4</v>
      </c>
      <c r="F466">
        <v>8.3000000000000185E-2</v>
      </c>
      <c r="H466">
        <v>399.16885449999995</v>
      </c>
      <c r="I466" t="s">
        <v>68</v>
      </c>
      <c r="J466">
        <v>0.1030000000000002</v>
      </c>
      <c r="K466">
        <v>0</v>
      </c>
      <c r="L466">
        <f t="shared" si="14"/>
        <v>399</v>
      </c>
      <c r="M466">
        <f t="shared" si="15"/>
        <v>1198</v>
      </c>
    </row>
    <row r="467" spans="1:13" x14ac:dyDescent="0.3">
      <c r="A467">
        <v>5</v>
      </c>
      <c r="B467" s="3">
        <v>43588.5</v>
      </c>
      <c r="C467" t="s">
        <v>55</v>
      </c>
      <c r="D467">
        <v>4</v>
      </c>
      <c r="E467">
        <v>5</v>
      </c>
      <c r="F467">
        <v>-0.65500000000000025</v>
      </c>
      <c r="H467">
        <v>3.2808398999999997</v>
      </c>
      <c r="I467" t="s">
        <v>50</v>
      </c>
      <c r="J467">
        <v>0.56000000000000005</v>
      </c>
      <c r="K467">
        <v>0</v>
      </c>
      <c r="L467">
        <f t="shared" si="14"/>
        <v>3</v>
      </c>
      <c r="M467">
        <f t="shared" si="15"/>
        <v>10</v>
      </c>
    </row>
    <row r="468" spans="1:13" x14ac:dyDescent="0.3">
      <c r="A468">
        <v>4</v>
      </c>
      <c r="B468" s="3">
        <v>43588.5</v>
      </c>
      <c r="C468" t="s">
        <v>55</v>
      </c>
      <c r="D468">
        <v>4</v>
      </c>
      <c r="E468">
        <v>5</v>
      </c>
      <c r="F468">
        <v>-0.65500000000000025</v>
      </c>
      <c r="H468">
        <v>8.7489063999999992</v>
      </c>
      <c r="I468" t="s">
        <v>50</v>
      </c>
      <c r="J468">
        <v>-0.62000000000000011</v>
      </c>
      <c r="K468" t="s">
        <v>115</v>
      </c>
      <c r="L468">
        <f t="shared" si="14"/>
        <v>9</v>
      </c>
      <c r="M468">
        <f t="shared" si="15"/>
        <v>26</v>
      </c>
    </row>
    <row r="469" spans="1:13" hidden="1" x14ac:dyDescent="0.3">
      <c r="A469">
        <v>3</v>
      </c>
      <c r="B469" s="3">
        <v>43588.5</v>
      </c>
      <c r="C469" t="s">
        <v>55</v>
      </c>
      <c r="D469">
        <v>4</v>
      </c>
      <c r="E469">
        <v>5</v>
      </c>
      <c r="F469">
        <v>-0.65500000000000025</v>
      </c>
      <c r="H469">
        <v>14.216972899999998</v>
      </c>
      <c r="I469" t="s">
        <v>48</v>
      </c>
      <c r="J469">
        <v>-0.64999999999999991</v>
      </c>
      <c r="K469">
        <v>0</v>
      </c>
      <c r="L469">
        <f t="shared" si="14"/>
        <v>14</v>
      </c>
      <c r="M469">
        <f t="shared" si="15"/>
        <v>43</v>
      </c>
    </row>
    <row r="470" spans="1:13" hidden="1" x14ac:dyDescent="0.3">
      <c r="A470">
        <v>2</v>
      </c>
      <c r="B470" s="3">
        <v>43588.5</v>
      </c>
      <c r="C470" t="s">
        <v>55</v>
      </c>
      <c r="D470">
        <v>4</v>
      </c>
      <c r="E470">
        <v>5</v>
      </c>
      <c r="F470">
        <v>-0.65500000000000025</v>
      </c>
      <c r="H470">
        <v>142.16972899999999</v>
      </c>
      <c r="I470" t="s">
        <v>48</v>
      </c>
      <c r="J470">
        <v>-0.37999999999999989</v>
      </c>
      <c r="K470">
        <v>0</v>
      </c>
      <c r="L470">
        <f t="shared" si="14"/>
        <v>142</v>
      </c>
      <c r="M470">
        <f t="shared" si="15"/>
        <v>427</v>
      </c>
    </row>
    <row r="471" spans="1:13" hidden="1" x14ac:dyDescent="0.3">
      <c r="A471">
        <v>1</v>
      </c>
      <c r="B471" s="3">
        <v>43588.5</v>
      </c>
      <c r="C471" t="s">
        <v>55</v>
      </c>
      <c r="D471">
        <v>4</v>
      </c>
      <c r="E471">
        <v>5</v>
      </c>
      <c r="F471">
        <v>-0.65500000000000025</v>
      </c>
      <c r="H471">
        <v>454.94313279999994</v>
      </c>
      <c r="I471" t="s">
        <v>68</v>
      </c>
      <c r="J471">
        <v>0.43499999999999961</v>
      </c>
      <c r="K471">
        <v>0</v>
      </c>
      <c r="L471">
        <f t="shared" si="14"/>
        <v>455</v>
      </c>
      <c r="M471">
        <f t="shared" si="15"/>
        <v>1365</v>
      </c>
    </row>
    <row r="472" spans="1:13" x14ac:dyDescent="0.3">
      <c r="A472">
        <v>4</v>
      </c>
      <c r="B472" s="3">
        <v>43588.5</v>
      </c>
      <c r="C472" t="s">
        <v>55</v>
      </c>
      <c r="D472">
        <v>3</v>
      </c>
      <c r="E472">
        <v>4</v>
      </c>
      <c r="F472">
        <v>4.9999999999998934E-3</v>
      </c>
      <c r="H472">
        <v>3.2808398999999997</v>
      </c>
      <c r="I472" t="s">
        <v>50</v>
      </c>
      <c r="J472">
        <v>0.56000000000000005</v>
      </c>
      <c r="K472">
        <v>0</v>
      </c>
      <c r="L472">
        <f t="shared" si="14"/>
        <v>3</v>
      </c>
      <c r="M472">
        <f t="shared" si="15"/>
        <v>10</v>
      </c>
    </row>
    <row r="473" spans="1:13" hidden="1" x14ac:dyDescent="0.3">
      <c r="A473">
        <v>3</v>
      </c>
      <c r="B473" s="3">
        <v>43588.5</v>
      </c>
      <c r="C473" t="s">
        <v>55</v>
      </c>
      <c r="D473">
        <v>3</v>
      </c>
      <c r="E473">
        <v>4</v>
      </c>
      <c r="F473">
        <v>4.9999999999998934E-3</v>
      </c>
      <c r="H473">
        <v>7.6552930999999997</v>
      </c>
      <c r="I473" t="s">
        <v>48</v>
      </c>
      <c r="J473">
        <v>-0.53000000000000025</v>
      </c>
      <c r="K473">
        <v>0</v>
      </c>
      <c r="L473">
        <f t="shared" si="14"/>
        <v>8</v>
      </c>
      <c r="M473">
        <f t="shared" si="15"/>
        <v>23</v>
      </c>
    </row>
    <row r="474" spans="1:13" hidden="1" x14ac:dyDescent="0.3">
      <c r="A474">
        <v>2</v>
      </c>
      <c r="B474" s="3">
        <v>43588.5</v>
      </c>
      <c r="C474" t="s">
        <v>55</v>
      </c>
      <c r="D474">
        <v>3</v>
      </c>
      <c r="E474">
        <v>4</v>
      </c>
      <c r="F474">
        <v>4.9999999999998934E-3</v>
      </c>
      <c r="H474">
        <v>106.08049009999999</v>
      </c>
      <c r="I474" t="s">
        <v>48</v>
      </c>
      <c r="J474">
        <v>-0.22999999999999998</v>
      </c>
      <c r="K474">
        <v>0</v>
      </c>
      <c r="L474">
        <f t="shared" si="14"/>
        <v>106</v>
      </c>
      <c r="M474">
        <f t="shared" si="15"/>
        <v>318</v>
      </c>
    </row>
    <row r="475" spans="1:13" hidden="1" x14ac:dyDescent="0.3">
      <c r="A475">
        <v>1</v>
      </c>
      <c r="B475" s="3">
        <v>43588.5</v>
      </c>
      <c r="C475" t="s">
        <v>55</v>
      </c>
      <c r="D475">
        <v>3</v>
      </c>
      <c r="E475">
        <v>4</v>
      </c>
      <c r="F475">
        <v>4.9999999999998934E-3</v>
      </c>
      <c r="H475">
        <v>378.39020179999994</v>
      </c>
      <c r="I475" t="s">
        <v>68</v>
      </c>
      <c r="J475">
        <v>0.20500000000000007</v>
      </c>
      <c r="K475">
        <v>0</v>
      </c>
      <c r="L475">
        <f t="shared" si="14"/>
        <v>378</v>
      </c>
      <c r="M475">
        <f t="shared" si="15"/>
        <v>1135</v>
      </c>
    </row>
    <row r="476" spans="1:13" x14ac:dyDescent="0.3">
      <c r="A476">
        <v>3</v>
      </c>
      <c r="B476" s="3">
        <v>43588.5</v>
      </c>
      <c r="C476" t="s">
        <v>55</v>
      </c>
      <c r="D476">
        <v>2</v>
      </c>
      <c r="E476">
        <v>3</v>
      </c>
      <c r="F476">
        <v>0.12000000000000011</v>
      </c>
      <c r="H476">
        <v>0.33333333333333331</v>
      </c>
      <c r="I476" t="s">
        <v>50</v>
      </c>
      <c r="J476">
        <v>1.0000000000000009E-2</v>
      </c>
      <c r="K476">
        <v>0</v>
      </c>
      <c r="L476">
        <f t="shared" si="14"/>
        <v>0</v>
      </c>
      <c r="M476">
        <f t="shared" si="15"/>
        <v>1</v>
      </c>
    </row>
    <row r="477" spans="1:13" hidden="1" x14ac:dyDescent="0.3">
      <c r="A477">
        <v>2</v>
      </c>
      <c r="B477" s="3">
        <v>43588.5</v>
      </c>
      <c r="C477" t="s">
        <v>55</v>
      </c>
      <c r="D477">
        <v>2</v>
      </c>
      <c r="E477">
        <v>3</v>
      </c>
      <c r="F477">
        <v>0.12000000000000011</v>
      </c>
      <c r="H477">
        <v>12.029746299999999</v>
      </c>
      <c r="I477" t="s">
        <v>48</v>
      </c>
      <c r="J477">
        <v>0.17000000000000015</v>
      </c>
      <c r="K477">
        <v>0</v>
      </c>
      <c r="L477">
        <f t="shared" si="14"/>
        <v>12</v>
      </c>
      <c r="M477">
        <f t="shared" si="15"/>
        <v>36</v>
      </c>
    </row>
    <row r="478" spans="1:13" hidden="1" x14ac:dyDescent="0.3">
      <c r="A478">
        <v>1</v>
      </c>
      <c r="B478" s="3">
        <v>43588.5</v>
      </c>
      <c r="C478" t="s">
        <v>55</v>
      </c>
      <c r="D478">
        <v>2</v>
      </c>
      <c r="E478">
        <v>3</v>
      </c>
      <c r="F478">
        <v>0.12000000000000011</v>
      </c>
      <c r="H478">
        <v>188.10148759999998</v>
      </c>
      <c r="I478" t="s">
        <v>68</v>
      </c>
      <c r="J478">
        <v>-6.0000000000000053E-2</v>
      </c>
      <c r="K478">
        <v>0</v>
      </c>
      <c r="L478">
        <f t="shared" si="14"/>
        <v>188</v>
      </c>
      <c r="M478">
        <f t="shared" si="15"/>
        <v>564</v>
      </c>
    </row>
    <row r="479" spans="1:13" x14ac:dyDescent="0.3">
      <c r="A479">
        <v>4</v>
      </c>
      <c r="B479" s="3">
        <v>43588.5</v>
      </c>
      <c r="C479" t="s">
        <v>55</v>
      </c>
      <c r="D479">
        <v>1</v>
      </c>
      <c r="E479">
        <v>4</v>
      </c>
      <c r="F479">
        <v>8.0000000000000071E-2</v>
      </c>
      <c r="H479">
        <v>0.33333333333333331</v>
      </c>
      <c r="I479" t="s">
        <v>50</v>
      </c>
      <c r="J479">
        <v>1.0000000000000009E-2</v>
      </c>
      <c r="K479">
        <v>0</v>
      </c>
      <c r="L479">
        <f t="shared" si="14"/>
        <v>0</v>
      </c>
      <c r="M479">
        <f t="shared" si="15"/>
        <v>1</v>
      </c>
    </row>
    <row r="480" spans="1:13" x14ac:dyDescent="0.3">
      <c r="A480">
        <v>3</v>
      </c>
      <c r="B480" s="3">
        <v>43588.5</v>
      </c>
      <c r="C480" t="s">
        <v>55</v>
      </c>
      <c r="D480">
        <v>1</v>
      </c>
      <c r="E480">
        <v>4</v>
      </c>
      <c r="F480">
        <v>8.0000000000000071E-2</v>
      </c>
      <c r="H480">
        <v>1.3333333333333333</v>
      </c>
      <c r="I480" t="s">
        <v>50</v>
      </c>
      <c r="J480">
        <v>-0.88000000000000012</v>
      </c>
      <c r="K480" t="s">
        <v>115</v>
      </c>
      <c r="L480">
        <f t="shared" si="14"/>
        <v>1</v>
      </c>
      <c r="M480">
        <f t="shared" si="15"/>
        <v>4</v>
      </c>
    </row>
    <row r="481" spans="1:13" hidden="1" x14ac:dyDescent="0.3">
      <c r="A481">
        <v>2</v>
      </c>
      <c r="B481" s="3">
        <v>43588.5</v>
      </c>
      <c r="C481" t="s">
        <v>55</v>
      </c>
      <c r="D481">
        <v>1</v>
      </c>
      <c r="E481">
        <v>4</v>
      </c>
      <c r="F481">
        <v>8.0000000000000071E-2</v>
      </c>
      <c r="H481">
        <v>129.04636939999997</v>
      </c>
      <c r="I481" t="s">
        <v>48</v>
      </c>
      <c r="J481">
        <v>0.78000000000000025</v>
      </c>
      <c r="K481">
        <v>0</v>
      </c>
      <c r="L481">
        <f t="shared" si="14"/>
        <v>129</v>
      </c>
      <c r="M481">
        <f t="shared" si="15"/>
        <v>387</v>
      </c>
    </row>
    <row r="482" spans="1:13" hidden="1" x14ac:dyDescent="0.3">
      <c r="A482">
        <v>1</v>
      </c>
      <c r="B482" s="3">
        <v>43588.5</v>
      </c>
      <c r="C482" t="s">
        <v>55</v>
      </c>
      <c r="D482">
        <v>1</v>
      </c>
      <c r="E482">
        <v>4</v>
      </c>
      <c r="F482">
        <v>8.0000000000000071E-2</v>
      </c>
      <c r="H482">
        <v>411.19860079999995</v>
      </c>
      <c r="I482" t="s">
        <v>68</v>
      </c>
      <c r="J482">
        <v>0.16999999999999993</v>
      </c>
      <c r="K482">
        <v>0</v>
      </c>
      <c r="L482">
        <f t="shared" si="14"/>
        <v>411</v>
      </c>
      <c r="M482">
        <f t="shared" si="15"/>
        <v>1234</v>
      </c>
    </row>
    <row r="483" spans="1:13" x14ac:dyDescent="0.3">
      <c r="A483">
        <v>4</v>
      </c>
      <c r="B483" s="3">
        <v>43584.583333333336</v>
      </c>
      <c r="C483" t="s">
        <v>54</v>
      </c>
      <c r="D483">
        <v>9</v>
      </c>
      <c r="E483">
        <v>4</v>
      </c>
      <c r="F483">
        <v>-6.0000000000000053E-2</v>
      </c>
      <c r="H483">
        <v>1.0936132999999999</v>
      </c>
      <c r="I483" t="s">
        <v>50</v>
      </c>
      <c r="J483">
        <v>4.0000000000000036E-2</v>
      </c>
      <c r="K483">
        <v>0</v>
      </c>
      <c r="L483">
        <f t="shared" si="14"/>
        <v>1</v>
      </c>
      <c r="M483">
        <f t="shared" si="15"/>
        <v>3</v>
      </c>
    </row>
    <row r="484" spans="1:13" x14ac:dyDescent="0.3">
      <c r="A484">
        <v>3</v>
      </c>
      <c r="B484" s="3">
        <v>43584.583333333336</v>
      </c>
      <c r="C484" t="s">
        <v>54</v>
      </c>
      <c r="D484">
        <v>9</v>
      </c>
      <c r="E484">
        <v>4</v>
      </c>
      <c r="F484">
        <v>-6.0000000000000053E-2</v>
      </c>
      <c r="H484">
        <v>8.7489063999999992</v>
      </c>
      <c r="I484" t="s">
        <v>50</v>
      </c>
      <c r="J484">
        <v>-0.10000000000000009</v>
      </c>
      <c r="K484" t="s">
        <v>111</v>
      </c>
      <c r="L484">
        <f t="shared" si="14"/>
        <v>9</v>
      </c>
      <c r="M484">
        <f t="shared" si="15"/>
        <v>26</v>
      </c>
    </row>
    <row r="485" spans="1:13" hidden="1" x14ac:dyDescent="0.3">
      <c r="A485">
        <v>2</v>
      </c>
      <c r="B485" s="3">
        <v>43584.583333333336</v>
      </c>
      <c r="C485" t="s">
        <v>54</v>
      </c>
      <c r="D485">
        <v>9</v>
      </c>
      <c r="E485">
        <v>4</v>
      </c>
      <c r="F485">
        <v>-6.0000000000000053E-2</v>
      </c>
      <c r="H485">
        <v>92.957130499999991</v>
      </c>
      <c r="I485" t="s">
        <v>48</v>
      </c>
      <c r="J485">
        <v>-0.14000000000000012</v>
      </c>
      <c r="K485">
        <v>0</v>
      </c>
      <c r="L485">
        <f t="shared" si="14"/>
        <v>93</v>
      </c>
      <c r="M485">
        <f t="shared" si="15"/>
        <v>279</v>
      </c>
    </row>
    <row r="486" spans="1:13" hidden="1" x14ac:dyDescent="0.3">
      <c r="A486">
        <v>1</v>
      </c>
      <c r="B486" s="3">
        <v>43584.583333333336</v>
      </c>
      <c r="C486" t="s">
        <v>54</v>
      </c>
      <c r="D486">
        <v>9</v>
      </c>
      <c r="E486">
        <v>4</v>
      </c>
      <c r="F486">
        <v>-6.0000000000000053E-2</v>
      </c>
      <c r="H486">
        <v>354.33070919999994</v>
      </c>
      <c r="I486" t="s">
        <v>68</v>
      </c>
      <c r="J486">
        <v>0.14000000000000012</v>
      </c>
      <c r="K486">
        <v>0</v>
      </c>
      <c r="L486">
        <f t="shared" si="14"/>
        <v>354</v>
      </c>
      <c r="M486">
        <f t="shared" si="15"/>
        <v>1063</v>
      </c>
    </row>
    <row r="487" spans="1:13" x14ac:dyDescent="0.3">
      <c r="A487">
        <v>4</v>
      </c>
      <c r="B487" s="3">
        <v>43584.583333333336</v>
      </c>
      <c r="C487" t="s">
        <v>54</v>
      </c>
      <c r="D487">
        <v>8</v>
      </c>
      <c r="E487">
        <v>4</v>
      </c>
      <c r="F487">
        <v>4.9999999999998934E-3</v>
      </c>
      <c r="H487">
        <v>4.3744531999999996</v>
      </c>
      <c r="I487" t="s">
        <v>50</v>
      </c>
      <c r="J487">
        <v>0.71199999999999997</v>
      </c>
      <c r="K487">
        <v>0</v>
      </c>
      <c r="L487">
        <f t="shared" si="14"/>
        <v>4</v>
      </c>
      <c r="M487">
        <f t="shared" si="15"/>
        <v>13</v>
      </c>
    </row>
    <row r="488" spans="1:13" x14ac:dyDescent="0.3">
      <c r="A488">
        <v>3</v>
      </c>
      <c r="B488" s="3">
        <v>43584.583333333336</v>
      </c>
      <c r="C488" t="s">
        <v>54</v>
      </c>
      <c r="D488">
        <v>8</v>
      </c>
      <c r="E488">
        <v>4</v>
      </c>
      <c r="F488">
        <v>4.9999999999998934E-3</v>
      </c>
      <c r="H488">
        <v>9.8425196999999987</v>
      </c>
      <c r="I488" t="s">
        <v>50</v>
      </c>
      <c r="J488">
        <v>-0.74199999999999999</v>
      </c>
      <c r="K488" t="s">
        <v>111</v>
      </c>
      <c r="L488">
        <f t="shared" si="14"/>
        <v>10</v>
      </c>
      <c r="M488">
        <f t="shared" si="15"/>
        <v>30</v>
      </c>
    </row>
    <row r="489" spans="1:13" hidden="1" x14ac:dyDescent="0.3">
      <c r="A489">
        <v>2</v>
      </c>
      <c r="B489" s="3">
        <v>43584.583333333336</v>
      </c>
      <c r="C489" t="s">
        <v>54</v>
      </c>
      <c r="D489">
        <v>8</v>
      </c>
      <c r="E489">
        <v>4</v>
      </c>
      <c r="F489">
        <v>4.9999999999998934E-3</v>
      </c>
      <c r="H489">
        <v>153.10586199999997</v>
      </c>
      <c r="I489" t="s">
        <v>48</v>
      </c>
      <c r="J489">
        <v>1.0000000000000009E-2</v>
      </c>
      <c r="K489">
        <v>0</v>
      </c>
      <c r="L489">
        <f t="shared" si="14"/>
        <v>153</v>
      </c>
      <c r="M489">
        <f t="shared" si="15"/>
        <v>459</v>
      </c>
    </row>
    <row r="490" spans="1:13" hidden="1" x14ac:dyDescent="0.3">
      <c r="A490">
        <v>1</v>
      </c>
      <c r="B490" s="3">
        <v>43584.583333333336</v>
      </c>
      <c r="C490" t="s">
        <v>54</v>
      </c>
      <c r="D490">
        <v>8</v>
      </c>
      <c r="E490">
        <v>4</v>
      </c>
      <c r="F490">
        <v>4.9999999999998934E-3</v>
      </c>
      <c r="H490">
        <v>381.67104169999999</v>
      </c>
      <c r="I490" t="s">
        <v>68</v>
      </c>
      <c r="J490">
        <v>2.4999999999999911E-2</v>
      </c>
      <c r="K490">
        <v>0</v>
      </c>
      <c r="L490">
        <f t="shared" si="14"/>
        <v>382</v>
      </c>
      <c r="M490">
        <f t="shared" si="15"/>
        <v>1145</v>
      </c>
    </row>
    <row r="491" spans="1:13" x14ac:dyDescent="0.3">
      <c r="A491">
        <v>3</v>
      </c>
      <c r="B491" s="3">
        <v>43584.583333333336</v>
      </c>
      <c r="C491" t="s">
        <v>54</v>
      </c>
      <c r="D491">
        <v>7</v>
      </c>
      <c r="E491">
        <v>3</v>
      </c>
      <c r="F491">
        <v>0.82500000000000018</v>
      </c>
      <c r="H491">
        <v>2.1872265999999998</v>
      </c>
      <c r="I491" t="s">
        <v>50</v>
      </c>
      <c r="J491">
        <v>0.34000000000000008</v>
      </c>
      <c r="K491">
        <v>0</v>
      </c>
      <c r="L491">
        <f t="shared" si="14"/>
        <v>2</v>
      </c>
      <c r="M491">
        <f t="shared" si="15"/>
        <v>7</v>
      </c>
    </row>
    <row r="492" spans="1:13" hidden="1" x14ac:dyDescent="0.3">
      <c r="A492">
        <v>2</v>
      </c>
      <c r="B492" s="3">
        <v>43584.583333333336</v>
      </c>
      <c r="C492" t="s">
        <v>54</v>
      </c>
      <c r="D492">
        <v>7</v>
      </c>
      <c r="E492">
        <v>3</v>
      </c>
      <c r="F492">
        <v>0.82500000000000018</v>
      </c>
      <c r="H492">
        <v>63.429571399999993</v>
      </c>
      <c r="I492" t="s">
        <v>49</v>
      </c>
      <c r="J492">
        <v>0.80999999999999983</v>
      </c>
      <c r="K492">
        <v>0</v>
      </c>
      <c r="L492">
        <f t="shared" si="14"/>
        <v>63</v>
      </c>
      <c r="M492">
        <f t="shared" si="15"/>
        <v>190</v>
      </c>
    </row>
    <row r="493" spans="1:13" hidden="1" x14ac:dyDescent="0.3">
      <c r="A493">
        <v>1</v>
      </c>
      <c r="B493" s="3">
        <v>43584.583333333336</v>
      </c>
      <c r="C493" t="s">
        <v>54</v>
      </c>
      <c r="D493">
        <v>7</v>
      </c>
      <c r="E493">
        <v>3</v>
      </c>
      <c r="F493">
        <v>0.82500000000000018</v>
      </c>
      <c r="H493">
        <v>308.39895059999998</v>
      </c>
      <c r="I493" t="s">
        <v>68</v>
      </c>
      <c r="J493">
        <v>-0.32499999999999973</v>
      </c>
      <c r="K493">
        <v>0</v>
      </c>
      <c r="L493">
        <f t="shared" si="14"/>
        <v>308</v>
      </c>
      <c r="M493">
        <f t="shared" si="15"/>
        <v>925</v>
      </c>
    </row>
    <row r="494" spans="1:13" x14ac:dyDescent="0.3">
      <c r="A494">
        <v>5</v>
      </c>
      <c r="B494" s="3">
        <v>43584.583333333336</v>
      </c>
      <c r="C494" t="s">
        <v>54</v>
      </c>
      <c r="D494">
        <v>6</v>
      </c>
      <c r="E494">
        <v>5</v>
      </c>
      <c r="F494">
        <v>-0.34999999999999964</v>
      </c>
      <c r="H494">
        <v>1.0936132999999999</v>
      </c>
      <c r="I494" t="s">
        <v>50</v>
      </c>
      <c r="J494">
        <v>4.0000000000000036E-2</v>
      </c>
      <c r="K494">
        <v>0</v>
      </c>
      <c r="L494">
        <f t="shared" si="14"/>
        <v>1</v>
      </c>
      <c r="M494">
        <f t="shared" si="15"/>
        <v>3</v>
      </c>
    </row>
    <row r="495" spans="1:13" x14ac:dyDescent="0.3">
      <c r="A495">
        <v>4</v>
      </c>
      <c r="B495" s="3">
        <v>43584.583333333336</v>
      </c>
      <c r="C495" t="s">
        <v>54</v>
      </c>
      <c r="D495">
        <v>6</v>
      </c>
      <c r="E495">
        <v>5</v>
      </c>
      <c r="F495">
        <v>-0.34999999999999964</v>
      </c>
      <c r="H495">
        <v>4.3744531999999996</v>
      </c>
      <c r="I495" t="s">
        <v>50</v>
      </c>
      <c r="J495">
        <v>-0.32800000000000007</v>
      </c>
      <c r="K495" t="s">
        <v>111</v>
      </c>
      <c r="L495">
        <f t="shared" si="14"/>
        <v>4</v>
      </c>
      <c r="M495">
        <f t="shared" si="15"/>
        <v>13</v>
      </c>
    </row>
    <row r="496" spans="1:13" hidden="1" x14ac:dyDescent="0.3">
      <c r="A496">
        <v>3</v>
      </c>
      <c r="B496" s="3">
        <v>43584.583333333336</v>
      </c>
      <c r="C496" t="s">
        <v>54</v>
      </c>
      <c r="D496">
        <v>6</v>
      </c>
      <c r="E496">
        <v>5</v>
      </c>
      <c r="F496">
        <v>-0.34999999999999964</v>
      </c>
      <c r="H496">
        <v>15.310586199999999</v>
      </c>
      <c r="I496" t="s">
        <v>48</v>
      </c>
      <c r="J496">
        <v>-0.42199999999999993</v>
      </c>
      <c r="K496">
        <v>0</v>
      </c>
      <c r="L496">
        <f t="shared" si="14"/>
        <v>15</v>
      </c>
      <c r="M496">
        <f t="shared" si="15"/>
        <v>46</v>
      </c>
    </row>
    <row r="497" spans="1:13" hidden="1" x14ac:dyDescent="0.3">
      <c r="A497">
        <v>2</v>
      </c>
      <c r="B497" s="3">
        <v>43584.583333333336</v>
      </c>
      <c r="C497" t="s">
        <v>54</v>
      </c>
      <c r="D497">
        <v>6</v>
      </c>
      <c r="E497">
        <v>5</v>
      </c>
      <c r="F497">
        <v>-0.34999999999999964</v>
      </c>
      <c r="H497">
        <v>205.59930039999998</v>
      </c>
      <c r="I497" t="s">
        <v>48</v>
      </c>
      <c r="J497">
        <v>2.9999999999999805E-2</v>
      </c>
      <c r="K497">
        <v>0</v>
      </c>
      <c r="L497">
        <f t="shared" si="14"/>
        <v>206</v>
      </c>
      <c r="M497">
        <f t="shared" si="15"/>
        <v>617</v>
      </c>
    </row>
    <row r="498" spans="1:13" hidden="1" x14ac:dyDescent="0.3">
      <c r="A498">
        <v>1</v>
      </c>
      <c r="B498" s="3">
        <v>43584.583333333336</v>
      </c>
      <c r="C498" t="s">
        <v>54</v>
      </c>
      <c r="D498">
        <v>6</v>
      </c>
      <c r="E498">
        <v>5</v>
      </c>
      <c r="F498">
        <v>-0.34999999999999964</v>
      </c>
      <c r="H498">
        <v>500.87489139999997</v>
      </c>
      <c r="I498" t="s">
        <v>68</v>
      </c>
      <c r="J498">
        <v>0.33000000000000052</v>
      </c>
      <c r="K498">
        <v>0</v>
      </c>
      <c r="L498">
        <f t="shared" si="14"/>
        <v>501</v>
      </c>
      <c r="M498">
        <f t="shared" si="15"/>
        <v>1503</v>
      </c>
    </row>
    <row r="499" spans="1:13" x14ac:dyDescent="0.3">
      <c r="A499">
        <v>5</v>
      </c>
      <c r="B499" s="3">
        <v>43584.583333333336</v>
      </c>
      <c r="C499" t="s">
        <v>54</v>
      </c>
      <c r="D499">
        <v>5</v>
      </c>
      <c r="E499">
        <v>5</v>
      </c>
      <c r="F499">
        <v>-0.91999999999999993</v>
      </c>
      <c r="H499">
        <v>1.0936132999999999</v>
      </c>
      <c r="I499" t="s">
        <v>50</v>
      </c>
      <c r="J499">
        <v>4.0000000000000036E-2</v>
      </c>
      <c r="K499">
        <v>0</v>
      </c>
      <c r="L499">
        <f t="shared" si="14"/>
        <v>1</v>
      </c>
      <c r="M499">
        <f t="shared" si="15"/>
        <v>3</v>
      </c>
    </row>
    <row r="500" spans="1:13" x14ac:dyDescent="0.3">
      <c r="A500">
        <v>4</v>
      </c>
      <c r="B500" s="3">
        <v>43584.583333333336</v>
      </c>
      <c r="C500" t="s">
        <v>54</v>
      </c>
      <c r="D500">
        <v>5</v>
      </c>
      <c r="E500">
        <v>5</v>
      </c>
      <c r="F500">
        <v>-0.91999999999999993</v>
      </c>
      <c r="H500">
        <v>5.4680664999999991</v>
      </c>
      <c r="I500" t="s">
        <v>50</v>
      </c>
      <c r="J500">
        <v>-0.24199999999999999</v>
      </c>
      <c r="K500" t="s">
        <v>113</v>
      </c>
      <c r="L500">
        <f t="shared" si="14"/>
        <v>5</v>
      </c>
      <c r="M500">
        <f t="shared" si="15"/>
        <v>16</v>
      </c>
    </row>
    <row r="501" spans="1:13" hidden="1" x14ac:dyDescent="0.3">
      <c r="A501">
        <v>3</v>
      </c>
      <c r="B501" s="3">
        <v>43584.583333333336</v>
      </c>
      <c r="C501" t="s">
        <v>54</v>
      </c>
      <c r="D501">
        <v>5</v>
      </c>
      <c r="E501">
        <v>5</v>
      </c>
      <c r="F501">
        <v>-0.91999999999999993</v>
      </c>
      <c r="H501">
        <v>12.029746299999999</v>
      </c>
      <c r="I501" t="s">
        <v>48</v>
      </c>
      <c r="J501">
        <v>-0.61799999999999988</v>
      </c>
      <c r="K501">
        <v>0</v>
      </c>
      <c r="L501">
        <f t="shared" si="14"/>
        <v>12</v>
      </c>
      <c r="M501">
        <f t="shared" si="15"/>
        <v>36</v>
      </c>
    </row>
    <row r="502" spans="1:13" hidden="1" x14ac:dyDescent="0.3">
      <c r="A502">
        <v>2</v>
      </c>
      <c r="B502" s="3">
        <v>43584.583333333336</v>
      </c>
      <c r="C502" t="s">
        <v>54</v>
      </c>
      <c r="D502">
        <v>5</v>
      </c>
      <c r="E502">
        <v>5</v>
      </c>
      <c r="F502">
        <v>-0.91999999999999993</v>
      </c>
      <c r="H502">
        <v>129.04636939999997</v>
      </c>
      <c r="I502" t="s">
        <v>48</v>
      </c>
      <c r="J502">
        <v>-0.27</v>
      </c>
      <c r="K502">
        <v>0</v>
      </c>
      <c r="L502">
        <f t="shared" si="14"/>
        <v>129</v>
      </c>
      <c r="M502">
        <f t="shared" si="15"/>
        <v>387</v>
      </c>
    </row>
    <row r="503" spans="1:13" hidden="1" x14ac:dyDescent="0.3">
      <c r="A503">
        <v>1</v>
      </c>
      <c r="B503" s="3">
        <v>43584.583333333336</v>
      </c>
      <c r="C503" t="s">
        <v>54</v>
      </c>
      <c r="D503">
        <v>5</v>
      </c>
      <c r="E503">
        <v>5</v>
      </c>
      <c r="F503">
        <v>-0.91999999999999993</v>
      </c>
      <c r="H503">
        <v>413.38582739999998</v>
      </c>
      <c r="I503" t="s">
        <v>68</v>
      </c>
      <c r="J503">
        <v>0.16999999999999993</v>
      </c>
      <c r="K503">
        <v>0</v>
      </c>
      <c r="L503">
        <f t="shared" si="14"/>
        <v>413</v>
      </c>
      <c r="M503">
        <f t="shared" si="15"/>
        <v>1240</v>
      </c>
    </row>
    <row r="504" spans="1:13" x14ac:dyDescent="0.3">
      <c r="A504">
        <v>5</v>
      </c>
      <c r="B504" s="3">
        <v>43584.583333333336</v>
      </c>
      <c r="C504" t="s">
        <v>54</v>
      </c>
      <c r="D504">
        <v>4</v>
      </c>
      <c r="E504">
        <v>5</v>
      </c>
      <c r="F504">
        <v>-0.20999999999999996</v>
      </c>
      <c r="H504">
        <v>6.5616797999999994</v>
      </c>
      <c r="I504" t="s">
        <v>50</v>
      </c>
      <c r="J504">
        <v>0.85200000000000009</v>
      </c>
      <c r="K504">
        <v>0</v>
      </c>
      <c r="L504">
        <f t="shared" si="14"/>
        <v>7</v>
      </c>
      <c r="M504">
        <f t="shared" si="15"/>
        <v>20</v>
      </c>
    </row>
    <row r="505" spans="1:13" x14ac:dyDescent="0.3">
      <c r="A505">
        <v>4</v>
      </c>
      <c r="B505" s="3">
        <v>43584.583333333336</v>
      </c>
      <c r="C505" t="s">
        <v>54</v>
      </c>
      <c r="D505">
        <v>4</v>
      </c>
      <c r="E505">
        <v>5</v>
      </c>
      <c r="F505">
        <v>-0.20999999999999996</v>
      </c>
      <c r="H505">
        <v>18.5914261</v>
      </c>
      <c r="I505" t="s">
        <v>50</v>
      </c>
      <c r="J505">
        <v>-0.68200000000000016</v>
      </c>
      <c r="K505" t="s">
        <v>115</v>
      </c>
      <c r="L505">
        <f t="shared" si="14"/>
        <v>19</v>
      </c>
      <c r="M505">
        <f t="shared" si="15"/>
        <v>56</v>
      </c>
    </row>
    <row r="506" spans="1:13" hidden="1" x14ac:dyDescent="0.3">
      <c r="A506">
        <v>3</v>
      </c>
      <c r="B506" s="3">
        <v>43584.583333333336</v>
      </c>
      <c r="C506" t="s">
        <v>54</v>
      </c>
      <c r="D506">
        <v>4</v>
      </c>
      <c r="E506">
        <v>5</v>
      </c>
      <c r="F506">
        <v>-0.20999999999999996</v>
      </c>
      <c r="H506">
        <v>63.429571399999993</v>
      </c>
      <c r="I506" t="s">
        <v>48</v>
      </c>
      <c r="J506">
        <v>-0.46999999999999975</v>
      </c>
      <c r="K506">
        <v>0</v>
      </c>
      <c r="L506">
        <f t="shared" si="14"/>
        <v>63</v>
      </c>
      <c r="M506">
        <f t="shared" si="15"/>
        <v>190</v>
      </c>
    </row>
    <row r="507" spans="1:13" hidden="1" x14ac:dyDescent="0.3">
      <c r="A507">
        <v>2</v>
      </c>
      <c r="B507" s="3">
        <v>43584.583333333336</v>
      </c>
      <c r="C507" t="s">
        <v>54</v>
      </c>
      <c r="D507">
        <v>4</v>
      </c>
      <c r="E507">
        <v>5</v>
      </c>
      <c r="F507">
        <v>-0.20999999999999996</v>
      </c>
      <c r="H507">
        <v>207.78652699999998</v>
      </c>
      <c r="I507" t="s">
        <v>48</v>
      </c>
      <c r="J507">
        <v>-0.38000000000000034</v>
      </c>
      <c r="K507">
        <v>0</v>
      </c>
      <c r="L507">
        <f t="shared" si="14"/>
        <v>208</v>
      </c>
      <c r="M507">
        <f t="shared" si="15"/>
        <v>623</v>
      </c>
    </row>
    <row r="508" spans="1:13" hidden="1" x14ac:dyDescent="0.3">
      <c r="A508">
        <v>1</v>
      </c>
      <c r="B508" s="3">
        <v>43584.583333333336</v>
      </c>
      <c r="C508" t="s">
        <v>54</v>
      </c>
      <c r="D508">
        <v>4</v>
      </c>
      <c r="E508">
        <v>5</v>
      </c>
      <c r="F508">
        <v>-0.20999999999999996</v>
      </c>
      <c r="H508">
        <v>534.77690369999993</v>
      </c>
      <c r="I508" t="s">
        <v>68</v>
      </c>
      <c r="J508">
        <v>0.4700000000000002</v>
      </c>
      <c r="K508">
        <v>0</v>
      </c>
      <c r="L508">
        <f t="shared" si="14"/>
        <v>535</v>
      </c>
      <c r="M508">
        <f t="shared" si="15"/>
        <v>1604</v>
      </c>
    </row>
    <row r="509" spans="1:13" x14ac:dyDescent="0.3">
      <c r="A509">
        <v>4</v>
      </c>
      <c r="B509" s="3">
        <v>43584.583333333336</v>
      </c>
      <c r="C509" t="s">
        <v>54</v>
      </c>
      <c r="D509">
        <v>3</v>
      </c>
      <c r="E509">
        <v>4</v>
      </c>
      <c r="F509">
        <v>-1.02</v>
      </c>
      <c r="H509">
        <v>1.0936132999999999</v>
      </c>
      <c r="I509" t="s">
        <v>50</v>
      </c>
      <c r="J509">
        <v>4.0000000000000036E-2</v>
      </c>
      <c r="K509">
        <v>0</v>
      </c>
      <c r="L509">
        <f t="shared" si="14"/>
        <v>1</v>
      </c>
      <c r="M509">
        <f t="shared" si="15"/>
        <v>3</v>
      </c>
    </row>
    <row r="510" spans="1:13" x14ac:dyDescent="0.3">
      <c r="A510">
        <v>3</v>
      </c>
      <c r="B510" s="3">
        <v>43584.583333333336</v>
      </c>
      <c r="C510" t="s">
        <v>54</v>
      </c>
      <c r="D510">
        <v>3</v>
      </c>
      <c r="E510">
        <v>4</v>
      </c>
      <c r="F510">
        <v>-1.02</v>
      </c>
      <c r="H510">
        <v>3.2808398999999997</v>
      </c>
      <c r="I510" t="s">
        <v>50</v>
      </c>
      <c r="J510">
        <v>-0.48</v>
      </c>
      <c r="K510" t="s">
        <v>113</v>
      </c>
      <c r="L510">
        <f t="shared" si="14"/>
        <v>3</v>
      </c>
      <c r="M510">
        <f t="shared" si="15"/>
        <v>10</v>
      </c>
    </row>
    <row r="511" spans="1:13" x14ac:dyDescent="0.3">
      <c r="A511">
        <v>2</v>
      </c>
      <c r="B511" s="3">
        <v>43584.583333333336</v>
      </c>
      <c r="C511" t="s">
        <v>54</v>
      </c>
      <c r="D511">
        <v>3</v>
      </c>
      <c r="E511">
        <v>4</v>
      </c>
      <c r="F511">
        <v>-1.02</v>
      </c>
      <c r="H511">
        <v>12.029746299999999</v>
      </c>
      <c r="I511" t="s">
        <v>50</v>
      </c>
      <c r="J511">
        <v>-0.53200000000000003</v>
      </c>
      <c r="K511">
        <v>0</v>
      </c>
      <c r="L511">
        <f t="shared" si="14"/>
        <v>12</v>
      </c>
      <c r="M511">
        <f t="shared" si="15"/>
        <v>36</v>
      </c>
    </row>
    <row r="512" spans="1:13" hidden="1" x14ac:dyDescent="0.3">
      <c r="A512">
        <v>1</v>
      </c>
      <c r="B512" s="3">
        <v>43584.583333333336</v>
      </c>
      <c r="C512" t="s">
        <v>54</v>
      </c>
      <c r="D512">
        <v>3</v>
      </c>
      <c r="E512">
        <v>4</v>
      </c>
      <c r="F512">
        <v>-1.02</v>
      </c>
      <c r="H512">
        <v>142.16972899999999</v>
      </c>
      <c r="I512" t="s">
        <v>68</v>
      </c>
      <c r="J512">
        <v>-4.8000000000000043E-2</v>
      </c>
      <c r="K512">
        <v>0</v>
      </c>
      <c r="L512">
        <f t="shared" si="14"/>
        <v>142</v>
      </c>
      <c r="M512">
        <f t="shared" si="15"/>
        <v>427</v>
      </c>
    </row>
    <row r="513" spans="1:13" x14ac:dyDescent="0.3">
      <c r="A513">
        <v>4</v>
      </c>
      <c r="B513" s="3">
        <v>43584.583333333336</v>
      </c>
      <c r="C513" t="s">
        <v>54</v>
      </c>
      <c r="D513">
        <v>2</v>
      </c>
      <c r="E513">
        <v>4</v>
      </c>
      <c r="F513">
        <v>8.0000000000000071E-2</v>
      </c>
      <c r="H513">
        <v>1.0936132999999999</v>
      </c>
      <c r="I513" t="s">
        <v>50</v>
      </c>
      <c r="J513">
        <v>4.0000000000000036E-2</v>
      </c>
      <c r="K513">
        <v>0</v>
      </c>
      <c r="L513">
        <f t="shared" si="14"/>
        <v>1</v>
      </c>
      <c r="M513">
        <f t="shared" si="15"/>
        <v>3</v>
      </c>
    </row>
    <row r="514" spans="1:13" x14ac:dyDescent="0.3">
      <c r="A514">
        <v>3</v>
      </c>
      <c r="B514" s="3">
        <v>43584.583333333336</v>
      </c>
      <c r="C514" t="s">
        <v>54</v>
      </c>
      <c r="D514">
        <v>2</v>
      </c>
      <c r="E514">
        <v>4</v>
      </c>
      <c r="F514">
        <v>8.0000000000000071E-2</v>
      </c>
      <c r="H514">
        <v>2.1872265999999998</v>
      </c>
      <c r="I514" t="s">
        <v>50</v>
      </c>
      <c r="J514">
        <v>-0.7</v>
      </c>
      <c r="K514" t="s">
        <v>111</v>
      </c>
      <c r="L514">
        <f t="shared" ref="L514:L519" si="16">ROUND(H514,0)</f>
        <v>2</v>
      </c>
      <c r="M514">
        <f t="shared" ref="M514:M519" si="17">ROUND(H514*3,0)</f>
        <v>7</v>
      </c>
    </row>
    <row r="515" spans="1:13" hidden="1" x14ac:dyDescent="0.3">
      <c r="A515">
        <v>2</v>
      </c>
      <c r="B515" s="3">
        <v>43584.583333333336</v>
      </c>
      <c r="C515" t="s">
        <v>54</v>
      </c>
      <c r="D515">
        <v>2</v>
      </c>
      <c r="E515">
        <v>4</v>
      </c>
      <c r="F515">
        <v>8.0000000000000071E-2</v>
      </c>
      <c r="H515">
        <v>131.23359599999998</v>
      </c>
      <c r="I515" t="s">
        <v>48</v>
      </c>
      <c r="J515">
        <v>0.57000000000000006</v>
      </c>
      <c r="K515">
        <v>0</v>
      </c>
      <c r="L515">
        <f t="shared" si="16"/>
        <v>131</v>
      </c>
      <c r="M515">
        <f t="shared" si="17"/>
        <v>394</v>
      </c>
    </row>
    <row r="516" spans="1:13" hidden="1" x14ac:dyDescent="0.3">
      <c r="A516">
        <v>1</v>
      </c>
      <c r="B516" s="3">
        <v>43584.583333333336</v>
      </c>
      <c r="C516" t="s">
        <v>54</v>
      </c>
      <c r="D516">
        <v>2</v>
      </c>
      <c r="E516">
        <v>4</v>
      </c>
      <c r="F516">
        <v>8.0000000000000071E-2</v>
      </c>
      <c r="H516">
        <v>412.29221409999997</v>
      </c>
      <c r="I516" t="s">
        <v>68</v>
      </c>
      <c r="J516">
        <v>0.16999999999999993</v>
      </c>
      <c r="K516">
        <v>0</v>
      </c>
      <c r="L516">
        <f t="shared" si="16"/>
        <v>412</v>
      </c>
      <c r="M516">
        <f t="shared" si="17"/>
        <v>1237</v>
      </c>
    </row>
    <row r="517" spans="1:13" x14ac:dyDescent="0.3">
      <c r="A517">
        <v>3</v>
      </c>
      <c r="B517" s="3">
        <v>43584.583333333336</v>
      </c>
      <c r="C517" t="s">
        <v>54</v>
      </c>
      <c r="D517">
        <v>1</v>
      </c>
      <c r="E517">
        <v>3</v>
      </c>
      <c r="F517">
        <v>-2.9999999999999805E-2</v>
      </c>
      <c r="H517">
        <v>0.33333333333333331</v>
      </c>
      <c r="I517" t="s">
        <v>50</v>
      </c>
      <c r="J517">
        <v>1.0000000000000009E-2</v>
      </c>
      <c r="K517">
        <v>0</v>
      </c>
      <c r="L517">
        <f t="shared" si="16"/>
        <v>0</v>
      </c>
      <c r="M517">
        <f t="shared" si="17"/>
        <v>1</v>
      </c>
    </row>
    <row r="518" spans="1:13" x14ac:dyDescent="0.3">
      <c r="A518">
        <v>2</v>
      </c>
      <c r="B518" s="3">
        <v>43584.583333333336</v>
      </c>
      <c r="C518" t="s">
        <v>54</v>
      </c>
      <c r="D518">
        <v>1</v>
      </c>
      <c r="E518">
        <v>3</v>
      </c>
      <c r="F518">
        <v>-2.9999999999999805E-2</v>
      </c>
      <c r="H518">
        <v>3.2808398999999997</v>
      </c>
      <c r="I518" t="s">
        <v>50</v>
      </c>
      <c r="J518">
        <v>-0.44999999999999996</v>
      </c>
      <c r="K518" t="s">
        <v>115</v>
      </c>
      <c r="L518">
        <f t="shared" si="16"/>
        <v>3</v>
      </c>
      <c r="M518">
        <f t="shared" si="17"/>
        <v>10</v>
      </c>
    </row>
    <row r="519" spans="1:13" hidden="1" x14ac:dyDescent="0.3">
      <c r="A519">
        <v>1</v>
      </c>
      <c r="B519" s="3">
        <v>43584.583333333336</v>
      </c>
      <c r="C519" t="s">
        <v>54</v>
      </c>
      <c r="D519">
        <v>1</v>
      </c>
      <c r="E519">
        <v>3</v>
      </c>
      <c r="F519">
        <v>-2.9999999999999805E-2</v>
      </c>
      <c r="H519">
        <v>136.7016625</v>
      </c>
      <c r="I519" t="s">
        <v>68</v>
      </c>
      <c r="J519">
        <v>0.41000000000000014</v>
      </c>
      <c r="K519">
        <v>0</v>
      </c>
      <c r="L519">
        <f t="shared" si="16"/>
        <v>137</v>
      </c>
      <c r="M519">
        <f t="shared" si="17"/>
        <v>410</v>
      </c>
    </row>
    <row r="520" spans="1:13" hidden="1" x14ac:dyDescent="0.3"/>
    <row r="521" spans="1:13" hidden="1" x14ac:dyDescent="0.3"/>
    <row r="522" spans="1:13" hidden="1" x14ac:dyDescent="0.3"/>
    <row r="523" spans="1:13" hidden="1" x14ac:dyDescent="0.3"/>
    <row r="524" spans="1:13" hidden="1" x14ac:dyDescent="0.3"/>
    <row r="525" spans="1:13" hidden="1" x14ac:dyDescent="0.3"/>
    <row r="526" spans="1:13" hidden="1" x14ac:dyDescent="0.3"/>
    <row r="527" spans="1:13" hidden="1" x14ac:dyDescent="0.3"/>
    <row r="528" spans="1:13" hidden="1" x14ac:dyDescent="0.3"/>
    <row r="529" hidden="1" x14ac:dyDescent="0.3"/>
    <row r="530" hidden="1" x14ac:dyDescent="0.3"/>
    <row r="531" hidden="1" x14ac:dyDescent="0.3"/>
    <row r="532" hidden="1" x14ac:dyDescent="0.3"/>
    <row r="533" hidden="1" x14ac:dyDescent="0.3"/>
    <row r="534" hidden="1" x14ac:dyDescent="0.3"/>
    <row r="535" hidden="1" x14ac:dyDescent="0.3"/>
    <row r="536" hidden="1" x14ac:dyDescent="0.3"/>
    <row r="537" hidden="1" x14ac:dyDescent="0.3"/>
    <row r="538" hidden="1" x14ac:dyDescent="0.3"/>
    <row r="539" hidden="1" x14ac:dyDescent="0.3"/>
    <row r="540" hidden="1" x14ac:dyDescent="0.3"/>
    <row r="541" hidden="1" x14ac:dyDescent="0.3"/>
    <row r="542" hidden="1" x14ac:dyDescent="0.3"/>
    <row r="543" hidden="1" x14ac:dyDescent="0.3"/>
    <row r="544" hidden="1" x14ac:dyDescent="0.3"/>
    <row r="545" hidden="1" x14ac:dyDescent="0.3"/>
    <row r="546" hidden="1" x14ac:dyDescent="0.3"/>
    <row r="547" hidden="1" x14ac:dyDescent="0.3"/>
    <row r="548" hidden="1" x14ac:dyDescent="0.3"/>
    <row r="549" hidden="1" x14ac:dyDescent="0.3"/>
    <row r="550" hidden="1" x14ac:dyDescent="0.3"/>
    <row r="551" hidden="1" x14ac:dyDescent="0.3"/>
    <row r="552" hidden="1" x14ac:dyDescent="0.3"/>
    <row r="553" hidden="1" x14ac:dyDescent="0.3"/>
    <row r="554" hidden="1" x14ac:dyDescent="0.3"/>
    <row r="555" hidden="1" x14ac:dyDescent="0.3"/>
    <row r="556" hidden="1" x14ac:dyDescent="0.3"/>
    <row r="557" hidden="1" x14ac:dyDescent="0.3"/>
    <row r="558" hidden="1" x14ac:dyDescent="0.3"/>
    <row r="559" hidden="1" x14ac:dyDescent="0.3"/>
    <row r="560" hidden="1" x14ac:dyDescent="0.3"/>
    <row r="561" hidden="1" x14ac:dyDescent="0.3"/>
    <row r="562" hidden="1" x14ac:dyDescent="0.3"/>
    <row r="563" hidden="1" x14ac:dyDescent="0.3"/>
    <row r="564" hidden="1" x14ac:dyDescent="0.3"/>
    <row r="565" hidden="1" x14ac:dyDescent="0.3"/>
    <row r="566" hidden="1" x14ac:dyDescent="0.3"/>
    <row r="567" hidden="1" x14ac:dyDescent="0.3"/>
    <row r="568" hidden="1" x14ac:dyDescent="0.3"/>
    <row r="569" hidden="1" x14ac:dyDescent="0.3"/>
    <row r="570" hidden="1" x14ac:dyDescent="0.3"/>
    <row r="571" hidden="1" x14ac:dyDescent="0.3"/>
    <row r="572" hidden="1" x14ac:dyDescent="0.3"/>
    <row r="573" hidden="1" x14ac:dyDescent="0.3"/>
    <row r="574" hidden="1" x14ac:dyDescent="0.3"/>
    <row r="575" hidden="1" x14ac:dyDescent="0.3"/>
    <row r="576" hidden="1" x14ac:dyDescent="0.3"/>
    <row r="577" hidden="1" x14ac:dyDescent="0.3"/>
    <row r="578" hidden="1" x14ac:dyDescent="0.3"/>
    <row r="579" hidden="1" x14ac:dyDescent="0.3"/>
    <row r="580" hidden="1" x14ac:dyDescent="0.3"/>
    <row r="581" hidden="1" x14ac:dyDescent="0.3"/>
    <row r="582" hidden="1" x14ac:dyDescent="0.3"/>
    <row r="583" hidden="1" x14ac:dyDescent="0.3"/>
    <row r="584" hidden="1" x14ac:dyDescent="0.3"/>
    <row r="585" hidden="1" x14ac:dyDescent="0.3"/>
    <row r="586" hidden="1" x14ac:dyDescent="0.3"/>
    <row r="587" hidden="1" x14ac:dyDescent="0.3"/>
    <row r="588" hidden="1" x14ac:dyDescent="0.3"/>
    <row r="589" hidden="1" x14ac:dyDescent="0.3"/>
    <row r="590" hidden="1" x14ac:dyDescent="0.3"/>
    <row r="591" hidden="1" x14ac:dyDescent="0.3"/>
    <row r="592" hidden="1" x14ac:dyDescent="0.3"/>
    <row r="593" hidden="1" x14ac:dyDescent="0.3"/>
    <row r="594" hidden="1" x14ac:dyDescent="0.3"/>
    <row r="595" hidden="1" x14ac:dyDescent="0.3"/>
    <row r="596" hidden="1" x14ac:dyDescent="0.3"/>
    <row r="597" hidden="1" x14ac:dyDescent="0.3"/>
    <row r="598" hidden="1" x14ac:dyDescent="0.3"/>
    <row r="599" hidden="1" x14ac:dyDescent="0.3"/>
    <row r="600" hidden="1" x14ac:dyDescent="0.3"/>
    <row r="601" hidden="1" x14ac:dyDescent="0.3"/>
    <row r="602" hidden="1" x14ac:dyDescent="0.3"/>
    <row r="603" hidden="1" x14ac:dyDescent="0.3"/>
    <row r="604" hidden="1" x14ac:dyDescent="0.3"/>
    <row r="605" hidden="1" x14ac:dyDescent="0.3"/>
    <row r="606" hidden="1" x14ac:dyDescent="0.3"/>
    <row r="607" hidden="1" x14ac:dyDescent="0.3"/>
    <row r="608" hidden="1" x14ac:dyDescent="0.3"/>
    <row r="609" hidden="1" x14ac:dyDescent="0.3"/>
    <row r="610" hidden="1" x14ac:dyDescent="0.3"/>
    <row r="611" hidden="1" x14ac:dyDescent="0.3"/>
    <row r="612" hidden="1" x14ac:dyDescent="0.3"/>
    <row r="613" hidden="1" x14ac:dyDescent="0.3"/>
    <row r="614" hidden="1" x14ac:dyDescent="0.3"/>
    <row r="615" hidden="1" x14ac:dyDescent="0.3"/>
    <row r="616" hidden="1" x14ac:dyDescent="0.3"/>
    <row r="617" hidden="1" x14ac:dyDescent="0.3"/>
    <row r="618" hidden="1" x14ac:dyDescent="0.3"/>
    <row r="619" hidden="1" x14ac:dyDescent="0.3"/>
    <row r="620" hidden="1" x14ac:dyDescent="0.3"/>
    <row r="621" hidden="1" x14ac:dyDescent="0.3"/>
    <row r="622" hidden="1" x14ac:dyDescent="0.3"/>
    <row r="623" hidden="1" x14ac:dyDescent="0.3"/>
    <row r="624" hidden="1" x14ac:dyDescent="0.3"/>
    <row r="625" hidden="1" x14ac:dyDescent="0.3"/>
    <row r="626" hidden="1" x14ac:dyDescent="0.3"/>
    <row r="627" hidden="1" x14ac:dyDescent="0.3"/>
    <row r="628" hidden="1" x14ac:dyDescent="0.3"/>
    <row r="629" hidden="1" x14ac:dyDescent="0.3"/>
    <row r="630" hidden="1" x14ac:dyDescent="0.3"/>
    <row r="631" hidden="1" x14ac:dyDescent="0.3"/>
    <row r="632" hidden="1" x14ac:dyDescent="0.3"/>
    <row r="633" hidden="1" x14ac:dyDescent="0.3"/>
    <row r="634" hidden="1" x14ac:dyDescent="0.3"/>
    <row r="635" hidden="1" x14ac:dyDescent="0.3"/>
    <row r="636" hidden="1" x14ac:dyDescent="0.3"/>
    <row r="637" hidden="1" x14ac:dyDescent="0.3"/>
    <row r="638" hidden="1" x14ac:dyDescent="0.3"/>
    <row r="639" hidden="1" x14ac:dyDescent="0.3"/>
    <row r="640" hidden="1" x14ac:dyDescent="0.3"/>
    <row r="641" hidden="1" x14ac:dyDescent="0.3"/>
    <row r="642" hidden="1" x14ac:dyDescent="0.3"/>
    <row r="643" hidden="1" x14ac:dyDescent="0.3"/>
    <row r="644" hidden="1" x14ac:dyDescent="0.3"/>
    <row r="645" hidden="1" x14ac:dyDescent="0.3"/>
    <row r="646" hidden="1" x14ac:dyDescent="0.3"/>
    <row r="647" hidden="1" x14ac:dyDescent="0.3"/>
    <row r="648" hidden="1" x14ac:dyDescent="0.3"/>
    <row r="649" hidden="1" x14ac:dyDescent="0.3"/>
    <row r="650" hidden="1" x14ac:dyDescent="0.3"/>
    <row r="651" hidden="1" x14ac:dyDescent="0.3"/>
    <row r="652" hidden="1" x14ac:dyDescent="0.3"/>
    <row r="653" hidden="1" x14ac:dyDescent="0.3"/>
    <row r="654" hidden="1" x14ac:dyDescent="0.3"/>
    <row r="655" hidden="1" x14ac:dyDescent="0.3"/>
    <row r="656" hidden="1" x14ac:dyDescent="0.3"/>
    <row r="657" hidden="1" x14ac:dyDescent="0.3"/>
    <row r="658" hidden="1" x14ac:dyDescent="0.3"/>
    <row r="659" hidden="1" x14ac:dyDescent="0.3"/>
    <row r="660" hidden="1" x14ac:dyDescent="0.3"/>
    <row r="661" hidden="1" x14ac:dyDescent="0.3"/>
    <row r="662" hidden="1" x14ac:dyDescent="0.3"/>
    <row r="663" hidden="1" x14ac:dyDescent="0.3"/>
    <row r="664" hidden="1" x14ac:dyDescent="0.3"/>
    <row r="665" hidden="1" x14ac:dyDescent="0.3"/>
    <row r="666" hidden="1" x14ac:dyDescent="0.3"/>
    <row r="667" hidden="1" x14ac:dyDescent="0.3"/>
    <row r="668" hidden="1" x14ac:dyDescent="0.3"/>
    <row r="669" hidden="1" x14ac:dyDescent="0.3"/>
    <row r="670" hidden="1" x14ac:dyDescent="0.3"/>
    <row r="671" hidden="1" x14ac:dyDescent="0.3"/>
    <row r="672" hidden="1" x14ac:dyDescent="0.3"/>
    <row r="673" hidden="1" x14ac:dyDescent="0.3"/>
    <row r="674" hidden="1" x14ac:dyDescent="0.3"/>
    <row r="675" hidden="1" x14ac:dyDescent="0.3"/>
    <row r="676" hidden="1" x14ac:dyDescent="0.3"/>
    <row r="677" hidden="1" x14ac:dyDescent="0.3"/>
    <row r="678" hidden="1" x14ac:dyDescent="0.3"/>
    <row r="679" hidden="1" x14ac:dyDescent="0.3"/>
    <row r="680" hidden="1" x14ac:dyDescent="0.3"/>
    <row r="681" hidden="1" x14ac:dyDescent="0.3"/>
    <row r="682" hidden="1" x14ac:dyDescent="0.3"/>
    <row r="683" hidden="1" x14ac:dyDescent="0.3"/>
    <row r="684" hidden="1" x14ac:dyDescent="0.3"/>
    <row r="685" hidden="1" x14ac:dyDescent="0.3"/>
    <row r="686" hidden="1" x14ac:dyDescent="0.3"/>
    <row r="687" hidden="1" x14ac:dyDescent="0.3"/>
    <row r="688" hidden="1" x14ac:dyDescent="0.3"/>
    <row r="689" hidden="1" x14ac:dyDescent="0.3"/>
    <row r="690" hidden="1" x14ac:dyDescent="0.3"/>
    <row r="691" hidden="1" x14ac:dyDescent="0.3"/>
    <row r="692" hidden="1" x14ac:dyDescent="0.3"/>
    <row r="693" hidden="1" x14ac:dyDescent="0.3"/>
    <row r="694" hidden="1" x14ac:dyDescent="0.3"/>
    <row r="695" hidden="1" x14ac:dyDescent="0.3"/>
    <row r="696" hidden="1" x14ac:dyDescent="0.3"/>
    <row r="697" hidden="1" x14ac:dyDescent="0.3"/>
    <row r="698" hidden="1" x14ac:dyDescent="0.3"/>
    <row r="699" hidden="1" x14ac:dyDescent="0.3"/>
    <row r="700" hidden="1" x14ac:dyDescent="0.3"/>
    <row r="701" hidden="1" x14ac:dyDescent="0.3"/>
    <row r="702" hidden="1" x14ac:dyDescent="0.3"/>
    <row r="703" hidden="1" x14ac:dyDescent="0.3"/>
    <row r="704" hidden="1" x14ac:dyDescent="0.3"/>
    <row r="705" hidden="1" x14ac:dyDescent="0.3"/>
    <row r="706" hidden="1" x14ac:dyDescent="0.3"/>
    <row r="707" hidden="1" x14ac:dyDescent="0.3"/>
    <row r="708" hidden="1" x14ac:dyDescent="0.3"/>
    <row r="709" hidden="1" x14ac:dyDescent="0.3"/>
    <row r="710" hidden="1" x14ac:dyDescent="0.3"/>
    <row r="711" hidden="1" x14ac:dyDescent="0.3"/>
    <row r="712" hidden="1" x14ac:dyDescent="0.3"/>
    <row r="713" hidden="1" x14ac:dyDescent="0.3"/>
    <row r="714" hidden="1" x14ac:dyDescent="0.3"/>
    <row r="715" hidden="1" x14ac:dyDescent="0.3"/>
    <row r="716" hidden="1" x14ac:dyDescent="0.3"/>
    <row r="717" hidden="1" x14ac:dyDescent="0.3"/>
    <row r="718" hidden="1" x14ac:dyDescent="0.3"/>
    <row r="719" hidden="1" x14ac:dyDescent="0.3"/>
    <row r="720" hidden="1" x14ac:dyDescent="0.3"/>
    <row r="721" hidden="1" x14ac:dyDescent="0.3"/>
    <row r="722" hidden="1" x14ac:dyDescent="0.3"/>
    <row r="723" hidden="1" x14ac:dyDescent="0.3"/>
    <row r="724" hidden="1" x14ac:dyDescent="0.3"/>
    <row r="725" hidden="1" x14ac:dyDescent="0.3"/>
    <row r="726" hidden="1" x14ac:dyDescent="0.3"/>
    <row r="727" hidden="1" x14ac:dyDescent="0.3"/>
    <row r="728" hidden="1" x14ac:dyDescent="0.3"/>
    <row r="729" hidden="1" x14ac:dyDescent="0.3"/>
    <row r="730" hidden="1" x14ac:dyDescent="0.3"/>
    <row r="731" hidden="1" x14ac:dyDescent="0.3"/>
    <row r="732" hidden="1" x14ac:dyDescent="0.3"/>
    <row r="733" hidden="1" x14ac:dyDescent="0.3"/>
    <row r="734" hidden="1" x14ac:dyDescent="0.3"/>
    <row r="735" hidden="1" x14ac:dyDescent="0.3"/>
    <row r="736" hidden="1" x14ac:dyDescent="0.3"/>
    <row r="737" hidden="1" x14ac:dyDescent="0.3"/>
    <row r="738" hidden="1" x14ac:dyDescent="0.3"/>
    <row r="739" hidden="1" x14ac:dyDescent="0.3"/>
    <row r="740" hidden="1" x14ac:dyDescent="0.3"/>
    <row r="741" hidden="1" x14ac:dyDescent="0.3"/>
    <row r="742" hidden="1" x14ac:dyDescent="0.3"/>
    <row r="743" hidden="1" x14ac:dyDescent="0.3"/>
    <row r="744" hidden="1" x14ac:dyDescent="0.3"/>
    <row r="745" hidden="1" x14ac:dyDescent="0.3"/>
    <row r="746" hidden="1" x14ac:dyDescent="0.3"/>
    <row r="747" hidden="1" x14ac:dyDescent="0.3"/>
    <row r="748" hidden="1" x14ac:dyDescent="0.3"/>
    <row r="749" hidden="1" x14ac:dyDescent="0.3"/>
    <row r="750" hidden="1" x14ac:dyDescent="0.3"/>
    <row r="751" hidden="1" x14ac:dyDescent="0.3"/>
    <row r="752" hidden="1" x14ac:dyDescent="0.3"/>
    <row r="753" hidden="1" x14ac:dyDescent="0.3"/>
    <row r="754" hidden="1" x14ac:dyDescent="0.3"/>
    <row r="755" hidden="1" x14ac:dyDescent="0.3"/>
    <row r="756" hidden="1" x14ac:dyDescent="0.3"/>
    <row r="757" hidden="1" x14ac:dyDescent="0.3"/>
    <row r="758" hidden="1" x14ac:dyDescent="0.3"/>
    <row r="759" hidden="1" x14ac:dyDescent="0.3"/>
    <row r="760" hidden="1" x14ac:dyDescent="0.3"/>
    <row r="761" hidden="1" x14ac:dyDescent="0.3"/>
    <row r="762" hidden="1" x14ac:dyDescent="0.3"/>
    <row r="763" hidden="1" x14ac:dyDescent="0.3"/>
    <row r="764" hidden="1" x14ac:dyDescent="0.3"/>
    <row r="765" hidden="1" x14ac:dyDescent="0.3"/>
    <row r="766" hidden="1" x14ac:dyDescent="0.3"/>
    <row r="767" hidden="1" x14ac:dyDescent="0.3"/>
    <row r="768" hidden="1" x14ac:dyDescent="0.3"/>
    <row r="769" hidden="1" x14ac:dyDescent="0.3"/>
    <row r="770" hidden="1" x14ac:dyDescent="0.3"/>
    <row r="771" hidden="1" x14ac:dyDescent="0.3"/>
    <row r="772" hidden="1" x14ac:dyDescent="0.3"/>
    <row r="773" hidden="1" x14ac:dyDescent="0.3"/>
    <row r="774" hidden="1" x14ac:dyDescent="0.3"/>
    <row r="775" hidden="1" x14ac:dyDescent="0.3"/>
    <row r="776" hidden="1" x14ac:dyDescent="0.3"/>
    <row r="777" hidden="1" x14ac:dyDescent="0.3"/>
    <row r="778" hidden="1" x14ac:dyDescent="0.3"/>
    <row r="779" hidden="1" x14ac:dyDescent="0.3"/>
    <row r="780" hidden="1" x14ac:dyDescent="0.3"/>
    <row r="781" hidden="1" x14ac:dyDescent="0.3"/>
    <row r="782" hidden="1" x14ac:dyDescent="0.3"/>
    <row r="783" hidden="1" x14ac:dyDescent="0.3"/>
    <row r="784" hidden="1" x14ac:dyDescent="0.3"/>
    <row r="785" hidden="1" x14ac:dyDescent="0.3"/>
    <row r="786" hidden="1" x14ac:dyDescent="0.3"/>
    <row r="787" hidden="1" x14ac:dyDescent="0.3"/>
    <row r="788" hidden="1" x14ac:dyDescent="0.3"/>
    <row r="789" hidden="1" x14ac:dyDescent="0.3"/>
    <row r="790" hidden="1" x14ac:dyDescent="0.3"/>
    <row r="791" hidden="1" x14ac:dyDescent="0.3"/>
    <row r="792" hidden="1" x14ac:dyDescent="0.3"/>
    <row r="793" hidden="1" x14ac:dyDescent="0.3"/>
    <row r="794" hidden="1" x14ac:dyDescent="0.3"/>
    <row r="795" hidden="1" x14ac:dyDescent="0.3"/>
    <row r="796" hidden="1" x14ac:dyDescent="0.3"/>
    <row r="797" hidden="1" x14ac:dyDescent="0.3"/>
    <row r="798" hidden="1" x14ac:dyDescent="0.3"/>
    <row r="799" hidden="1" x14ac:dyDescent="0.3"/>
    <row r="800" hidden="1" x14ac:dyDescent="0.3"/>
    <row r="801" hidden="1" x14ac:dyDescent="0.3"/>
    <row r="802" hidden="1" x14ac:dyDescent="0.3"/>
    <row r="803" hidden="1" x14ac:dyDescent="0.3"/>
    <row r="804" hidden="1" x14ac:dyDescent="0.3"/>
    <row r="805" hidden="1" x14ac:dyDescent="0.3"/>
    <row r="806" hidden="1" x14ac:dyDescent="0.3"/>
    <row r="807" hidden="1" x14ac:dyDescent="0.3"/>
    <row r="808" hidden="1" x14ac:dyDescent="0.3"/>
    <row r="809" hidden="1" x14ac:dyDescent="0.3"/>
    <row r="810" hidden="1" x14ac:dyDescent="0.3"/>
    <row r="811" hidden="1" x14ac:dyDescent="0.3"/>
    <row r="812" hidden="1" x14ac:dyDescent="0.3"/>
    <row r="813" hidden="1" x14ac:dyDescent="0.3"/>
    <row r="814" hidden="1" x14ac:dyDescent="0.3"/>
    <row r="815" hidden="1" x14ac:dyDescent="0.3"/>
    <row r="816" hidden="1" x14ac:dyDescent="0.3"/>
    <row r="817" hidden="1" x14ac:dyDescent="0.3"/>
    <row r="818" hidden="1" x14ac:dyDescent="0.3"/>
    <row r="819" hidden="1" x14ac:dyDescent="0.3"/>
    <row r="820" hidden="1" x14ac:dyDescent="0.3"/>
    <row r="821" hidden="1" x14ac:dyDescent="0.3"/>
    <row r="822" hidden="1" x14ac:dyDescent="0.3"/>
    <row r="823" hidden="1" x14ac:dyDescent="0.3"/>
    <row r="824" hidden="1" x14ac:dyDescent="0.3"/>
    <row r="825" hidden="1" x14ac:dyDescent="0.3"/>
    <row r="826" hidden="1" x14ac:dyDescent="0.3"/>
    <row r="827" hidden="1" x14ac:dyDescent="0.3"/>
    <row r="828" hidden="1" x14ac:dyDescent="0.3"/>
    <row r="829" hidden="1" x14ac:dyDescent="0.3"/>
    <row r="830" hidden="1" x14ac:dyDescent="0.3"/>
    <row r="831" hidden="1" x14ac:dyDescent="0.3"/>
    <row r="832" hidden="1" x14ac:dyDescent="0.3"/>
    <row r="833" hidden="1" x14ac:dyDescent="0.3"/>
    <row r="834" hidden="1" x14ac:dyDescent="0.3"/>
    <row r="835" hidden="1" x14ac:dyDescent="0.3"/>
    <row r="836" hidden="1" x14ac:dyDescent="0.3"/>
    <row r="837" hidden="1" x14ac:dyDescent="0.3"/>
    <row r="838" hidden="1" x14ac:dyDescent="0.3"/>
    <row r="839" hidden="1" x14ac:dyDescent="0.3"/>
    <row r="840" hidden="1" x14ac:dyDescent="0.3"/>
    <row r="841" hidden="1" x14ac:dyDescent="0.3"/>
    <row r="842" hidden="1" x14ac:dyDescent="0.3"/>
    <row r="843" hidden="1" x14ac:dyDescent="0.3"/>
    <row r="844" hidden="1" x14ac:dyDescent="0.3"/>
    <row r="845" hidden="1" x14ac:dyDescent="0.3"/>
    <row r="846" hidden="1" x14ac:dyDescent="0.3"/>
    <row r="847" hidden="1" x14ac:dyDescent="0.3"/>
    <row r="848" hidden="1" x14ac:dyDescent="0.3"/>
    <row r="849" hidden="1" x14ac:dyDescent="0.3"/>
    <row r="850" hidden="1" x14ac:dyDescent="0.3"/>
    <row r="851" hidden="1" x14ac:dyDescent="0.3"/>
    <row r="852" hidden="1" x14ac:dyDescent="0.3"/>
    <row r="853" hidden="1" x14ac:dyDescent="0.3"/>
    <row r="854" hidden="1" x14ac:dyDescent="0.3"/>
    <row r="855" hidden="1" x14ac:dyDescent="0.3"/>
    <row r="856" hidden="1" x14ac:dyDescent="0.3"/>
    <row r="857" hidden="1" x14ac:dyDescent="0.3"/>
    <row r="858" hidden="1" x14ac:dyDescent="0.3"/>
    <row r="859" hidden="1" x14ac:dyDescent="0.3"/>
    <row r="860" hidden="1" x14ac:dyDescent="0.3"/>
    <row r="861" hidden="1" x14ac:dyDescent="0.3"/>
    <row r="862" hidden="1" x14ac:dyDescent="0.3"/>
    <row r="863" hidden="1" x14ac:dyDescent="0.3"/>
    <row r="864" hidden="1" x14ac:dyDescent="0.3"/>
    <row r="865" hidden="1" x14ac:dyDescent="0.3"/>
    <row r="866" hidden="1" x14ac:dyDescent="0.3"/>
    <row r="867" hidden="1" x14ac:dyDescent="0.3"/>
    <row r="868" hidden="1" x14ac:dyDescent="0.3"/>
    <row r="869" hidden="1" x14ac:dyDescent="0.3"/>
    <row r="870" hidden="1" x14ac:dyDescent="0.3"/>
    <row r="871" hidden="1" x14ac:dyDescent="0.3"/>
    <row r="872" hidden="1" x14ac:dyDescent="0.3"/>
    <row r="873" hidden="1" x14ac:dyDescent="0.3"/>
    <row r="874" hidden="1" x14ac:dyDescent="0.3"/>
    <row r="875" hidden="1" x14ac:dyDescent="0.3"/>
    <row r="876" hidden="1" x14ac:dyDescent="0.3"/>
    <row r="877" hidden="1" x14ac:dyDescent="0.3"/>
    <row r="878" hidden="1" x14ac:dyDescent="0.3"/>
    <row r="879" hidden="1" x14ac:dyDescent="0.3"/>
    <row r="880" hidden="1" x14ac:dyDescent="0.3"/>
    <row r="881" hidden="1" x14ac:dyDescent="0.3"/>
    <row r="882" hidden="1" x14ac:dyDescent="0.3"/>
    <row r="883" hidden="1" x14ac:dyDescent="0.3"/>
    <row r="884" hidden="1" x14ac:dyDescent="0.3"/>
    <row r="885" hidden="1" x14ac:dyDescent="0.3"/>
    <row r="886" hidden="1" x14ac:dyDescent="0.3"/>
    <row r="887" hidden="1" x14ac:dyDescent="0.3"/>
    <row r="888" hidden="1" x14ac:dyDescent="0.3"/>
    <row r="889" hidden="1" x14ac:dyDescent="0.3"/>
    <row r="890" hidden="1" x14ac:dyDescent="0.3"/>
    <row r="891" hidden="1" x14ac:dyDescent="0.3"/>
    <row r="892" hidden="1" x14ac:dyDescent="0.3"/>
    <row r="893" hidden="1" x14ac:dyDescent="0.3"/>
    <row r="894" hidden="1" x14ac:dyDescent="0.3"/>
    <row r="895" hidden="1" x14ac:dyDescent="0.3"/>
    <row r="896" hidden="1" x14ac:dyDescent="0.3"/>
    <row r="897" hidden="1" x14ac:dyDescent="0.3"/>
    <row r="898" hidden="1" x14ac:dyDescent="0.3"/>
    <row r="899" hidden="1" x14ac:dyDescent="0.3"/>
    <row r="900" hidden="1" x14ac:dyDescent="0.3"/>
    <row r="901" hidden="1" x14ac:dyDescent="0.3"/>
    <row r="902" hidden="1" x14ac:dyDescent="0.3"/>
    <row r="903" hidden="1" x14ac:dyDescent="0.3"/>
    <row r="904" hidden="1" x14ac:dyDescent="0.3"/>
    <row r="905" hidden="1" x14ac:dyDescent="0.3"/>
    <row r="906" hidden="1" x14ac:dyDescent="0.3"/>
    <row r="907" hidden="1" x14ac:dyDescent="0.3"/>
    <row r="908" hidden="1" x14ac:dyDescent="0.3"/>
    <row r="909" hidden="1" x14ac:dyDescent="0.3"/>
    <row r="910" hidden="1" x14ac:dyDescent="0.3"/>
    <row r="911" hidden="1" x14ac:dyDescent="0.3"/>
    <row r="912" hidden="1" x14ac:dyDescent="0.3"/>
    <row r="913" hidden="1" x14ac:dyDescent="0.3"/>
    <row r="914" hidden="1" x14ac:dyDescent="0.3"/>
    <row r="915" hidden="1" x14ac:dyDescent="0.3"/>
    <row r="916" hidden="1" x14ac:dyDescent="0.3"/>
    <row r="917" hidden="1" x14ac:dyDescent="0.3"/>
    <row r="918" hidden="1" x14ac:dyDescent="0.3"/>
    <row r="919" hidden="1" x14ac:dyDescent="0.3"/>
    <row r="920" hidden="1" x14ac:dyDescent="0.3"/>
    <row r="921" hidden="1" x14ac:dyDescent="0.3"/>
    <row r="922" hidden="1" x14ac:dyDescent="0.3"/>
    <row r="923" hidden="1" x14ac:dyDescent="0.3"/>
    <row r="924" hidden="1" x14ac:dyDescent="0.3"/>
    <row r="925" hidden="1" x14ac:dyDescent="0.3"/>
    <row r="926" hidden="1" x14ac:dyDescent="0.3"/>
    <row r="927" hidden="1" x14ac:dyDescent="0.3"/>
    <row r="928" hidden="1" x14ac:dyDescent="0.3"/>
    <row r="929" hidden="1" x14ac:dyDescent="0.3"/>
    <row r="930" hidden="1" x14ac:dyDescent="0.3"/>
    <row r="931" hidden="1" x14ac:dyDescent="0.3"/>
    <row r="932" hidden="1" x14ac:dyDescent="0.3"/>
    <row r="933" hidden="1" x14ac:dyDescent="0.3"/>
    <row r="934" hidden="1" x14ac:dyDescent="0.3"/>
    <row r="935" hidden="1" x14ac:dyDescent="0.3"/>
    <row r="936" hidden="1" x14ac:dyDescent="0.3"/>
    <row r="937" hidden="1" x14ac:dyDescent="0.3"/>
    <row r="938" hidden="1" x14ac:dyDescent="0.3"/>
    <row r="939" hidden="1" x14ac:dyDescent="0.3"/>
    <row r="940" hidden="1" x14ac:dyDescent="0.3"/>
    <row r="941" hidden="1" x14ac:dyDescent="0.3"/>
    <row r="942" hidden="1" x14ac:dyDescent="0.3"/>
    <row r="943" hidden="1" x14ac:dyDescent="0.3"/>
    <row r="944" hidden="1" x14ac:dyDescent="0.3"/>
    <row r="945" hidden="1" x14ac:dyDescent="0.3"/>
    <row r="946" hidden="1" x14ac:dyDescent="0.3"/>
    <row r="947" hidden="1" x14ac:dyDescent="0.3"/>
    <row r="948" hidden="1" x14ac:dyDescent="0.3"/>
    <row r="949" hidden="1" x14ac:dyDescent="0.3"/>
    <row r="950" hidden="1" x14ac:dyDescent="0.3"/>
    <row r="951" hidden="1" x14ac:dyDescent="0.3"/>
    <row r="952" hidden="1" x14ac:dyDescent="0.3"/>
    <row r="953" hidden="1" x14ac:dyDescent="0.3"/>
    <row r="954" hidden="1" x14ac:dyDescent="0.3"/>
    <row r="955" hidden="1" x14ac:dyDescent="0.3"/>
    <row r="956" hidden="1" x14ac:dyDescent="0.3"/>
    <row r="957" hidden="1" x14ac:dyDescent="0.3"/>
    <row r="958" hidden="1" x14ac:dyDescent="0.3"/>
    <row r="959" hidden="1" x14ac:dyDescent="0.3"/>
    <row r="960" hidden="1" x14ac:dyDescent="0.3"/>
    <row r="961" hidden="1" x14ac:dyDescent="0.3"/>
    <row r="962" hidden="1" x14ac:dyDescent="0.3"/>
    <row r="963" hidden="1" x14ac:dyDescent="0.3"/>
    <row r="964" hidden="1" x14ac:dyDescent="0.3"/>
    <row r="965" hidden="1" x14ac:dyDescent="0.3"/>
    <row r="966" hidden="1" x14ac:dyDescent="0.3"/>
    <row r="967" hidden="1" x14ac:dyDescent="0.3"/>
    <row r="968" hidden="1" x14ac:dyDescent="0.3"/>
    <row r="969" hidden="1" x14ac:dyDescent="0.3"/>
    <row r="970" hidden="1" x14ac:dyDescent="0.3"/>
    <row r="971" hidden="1" x14ac:dyDescent="0.3"/>
    <row r="972" hidden="1" x14ac:dyDescent="0.3"/>
    <row r="973" hidden="1" x14ac:dyDescent="0.3"/>
    <row r="974" hidden="1" x14ac:dyDescent="0.3"/>
    <row r="975" hidden="1" x14ac:dyDescent="0.3"/>
    <row r="976" hidden="1" x14ac:dyDescent="0.3"/>
    <row r="977" hidden="1" x14ac:dyDescent="0.3"/>
    <row r="978" hidden="1" x14ac:dyDescent="0.3"/>
    <row r="979" hidden="1" x14ac:dyDescent="0.3"/>
    <row r="980" hidden="1" x14ac:dyDescent="0.3"/>
    <row r="981" hidden="1" x14ac:dyDescent="0.3"/>
    <row r="982" hidden="1" x14ac:dyDescent="0.3"/>
    <row r="983" hidden="1" x14ac:dyDescent="0.3"/>
    <row r="984" hidden="1" x14ac:dyDescent="0.3"/>
    <row r="985" hidden="1" x14ac:dyDescent="0.3"/>
    <row r="986" hidden="1" x14ac:dyDescent="0.3"/>
    <row r="987" hidden="1" x14ac:dyDescent="0.3"/>
    <row r="988" hidden="1" x14ac:dyDescent="0.3"/>
    <row r="989" hidden="1" x14ac:dyDescent="0.3"/>
    <row r="990" hidden="1" x14ac:dyDescent="0.3"/>
    <row r="991" hidden="1" x14ac:dyDescent="0.3"/>
    <row r="992" hidden="1" x14ac:dyDescent="0.3"/>
    <row r="993" hidden="1" x14ac:dyDescent="0.3"/>
    <row r="994" hidden="1" x14ac:dyDescent="0.3"/>
    <row r="995" hidden="1" x14ac:dyDescent="0.3"/>
    <row r="996" hidden="1" x14ac:dyDescent="0.3"/>
    <row r="997" hidden="1" x14ac:dyDescent="0.3"/>
    <row r="998" hidden="1" x14ac:dyDescent="0.3"/>
    <row r="999" hidden="1" x14ac:dyDescent="0.3"/>
    <row r="1000" hidden="1" x14ac:dyDescent="0.3"/>
    <row r="1001" hidden="1" x14ac:dyDescent="0.3"/>
    <row r="1002" hidden="1" x14ac:dyDescent="0.3"/>
    <row r="1003" hidden="1" x14ac:dyDescent="0.3"/>
    <row r="1004" hidden="1" x14ac:dyDescent="0.3"/>
    <row r="1005" hidden="1" x14ac:dyDescent="0.3"/>
    <row r="1006" hidden="1" x14ac:dyDescent="0.3"/>
    <row r="1007" hidden="1" x14ac:dyDescent="0.3"/>
    <row r="1008" hidden="1" x14ac:dyDescent="0.3"/>
    <row r="1009" hidden="1" x14ac:dyDescent="0.3"/>
    <row r="1010" hidden="1" x14ac:dyDescent="0.3"/>
    <row r="1011" hidden="1" x14ac:dyDescent="0.3"/>
    <row r="1012" hidden="1" x14ac:dyDescent="0.3"/>
    <row r="1013" hidden="1" x14ac:dyDescent="0.3"/>
    <row r="1014" hidden="1" x14ac:dyDescent="0.3"/>
    <row r="1015" hidden="1" x14ac:dyDescent="0.3"/>
    <row r="1016" hidden="1" x14ac:dyDescent="0.3"/>
    <row r="1017" hidden="1" x14ac:dyDescent="0.3"/>
    <row r="1018" hidden="1" x14ac:dyDescent="0.3"/>
    <row r="1019" hidden="1" x14ac:dyDescent="0.3"/>
    <row r="1020" hidden="1" x14ac:dyDescent="0.3"/>
    <row r="1021" hidden="1" x14ac:dyDescent="0.3"/>
    <row r="1022" hidden="1" x14ac:dyDescent="0.3"/>
    <row r="1023" hidden="1" x14ac:dyDescent="0.3"/>
    <row r="1024" hidden="1" x14ac:dyDescent="0.3"/>
    <row r="1025" hidden="1" x14ac:dyDescent="0.3"/>
    <row r="1026" hidden="1" x14ac:dyDescent="0.3"/>
    <row r="1027" hidden="1" x14ac:dyDescent="0.3"/>
    <row r="1028" hidden="1" x14ac:dyDescent="0.3"/>
    <row r="1029" hidden="1" x14ac:dyDescent="0.3"/>
    <row r="1030" hidden="1" x14ac:dyDescent="0.3"/>
    <row r="1031" hidden="1" x14ac:dyDescent="0.3"/>
    <row r="1032" hidden="1" x14ac:dyDescent="0.3"/>
    <row r="1033" hidden="1" x14ac:dyDescent="0.3"/>
    <row r="1034" hidden="1" x14ac:dyDescent="0.3"/>
    <row r="1035" hidden="1" x14ac:dyDescent="0.3"/>
    <row r="1036" hidden="1" x14ac:dyDescent="0.3"/>
    <row r="1037" hidden="1" x14ac:dyDescent="0.3"/>
    <row r="1038" hidden="1" x14ac:dyDescent="0.3"/>
    <row r="1039" hidden="1" x14ac:dyDescent="0.3"/>
    <row r="1040" hidden="1" x14ac:dyDescent="0.3"/>
    <row r="1041" hidden="1" x14ac:dyDescent="0.3"/>
    <row r="1042" hidden="1" x14ac:dyDescent="0.3"/>
    <row r="1043" hidden="1" x14ac:dyDescent="0.3"/>
    <row r="1044" hidden="1" x14ac:dyDescent="0.3"/>
    <row r="1045" hidden="1" x14ac:dyDescent="0.3"/>
    <row r="1046" hidden="1" x14ac:dyDescent="0.3"/>
    <row r="1047" hidden="1" x14ac:dyDescent="0.3"/>
    <row r="1048" hidden="1" x14ac:dyDescent="0.3"/>
    <row r="1049" hidden="1" x14ac:dyDescent="0.3"/>
    <row r="1050" hidden="1" x14ac:dyDescent="0.3"/>
    <row r="1051" hidden="1" x14ac:dyDescent="0.3"/>
    <row r="1052" hidden="1" x14ac:dyDescent="0.3"/>
    <row r="1053" hidden="1" x14ac:dyDescent="0.3"/>
    <row r="1054" hidden="1" x14ac:dyDescent="0.3"/>
    <row r="1055" hidden="1" x14ac:dyDescent="0.3"/>
    <row r="1056" hidden="1" x14ac:dyDescent="0.3"/>
    <row r="1057" hidden="1" x14ac:dyDescent="0.3"/>
    <row r="1058" hidden="1" x14ac:dyDescent="0.3"/>
    <row r="1059" hidden="1" x14ac:dyDescent="0.3"/>
    <row r="1060" hidden="1" x14ac:dyDescent="0.3"/>
    <row r="1061" hidden="1" x14ac:dyDescent="0.3"/>
    <row r="1062" hidden="1" x14ac:dyDescent="0.3"/>
    <row r="1063" hidden="1" x14ac:dyDescent="0.3"/>
    <row r="1064" hidden="1" x14ac:dyDescent="0.3"/>
    <row r="1065" hidden="1" x14ac:dyDescent="0.3"/>
    <row r="1066" hidden="1" x14ac:dyDescent="0.3"/>
    <row r="1067" hidden="1" x14ac:dyDescent="0.3"/>
    <row r="1068" hidden="1" x14ac:dyDescent="0.3"/>
    <row r="1069" hidden="1" x14ac:dyDescent="0.3"/>
    <row r="1070" hidden="1" x14ac:dyDescent="0.3"/>
    <row r="1071" hidden="1" x14ac:dyDescent="0.3"/>
    <row r="1072" hidden="1" x14ac:dyDescent="0.3"/>
    <row r="1073" hidden="1" x14ac:dyDescent="0.3"/>
    <row r="1074" hidden="1" x14ac:dyDescent="0.3"/>
    <row r="1075" hidden="1" x14ac:dyDescent="0.3"/>
    <row r="1076" hidden="1" x14ac:dyDescent="0.3"/>
    <row r="1077" hidden="1" x14ac:dyDescent="0.3"/>
    <row r="1078" hidden="1" x14ac:dyDescent="0.3"/>
    <row r="1079" hidden="1" x14ac:dyDescent="0.3"/>
    <row r="1080" hidden="1" x14ac:dyDescent="0.3"/>
    <row r="1081" hidden="1" x14ac:dyDescent="0.3"/>
    <row r="1082" hidden="1" x14ac:dyDescent="0.3"/>
    <row r="1083" hidden="1" x14ac:dyDescent="0.3"/>
    <row r="1084" hidden="1" x14ac:dyDescent="0.3"/>
    <row r="1085" hidden="1" x14ac:dyDescent="0.3"/>
    <row r="1086" hidden="1" x14ac:dyDescent="0.3"/>
    <row r="1087" hidden="1" x14ac:dyDescent="0.3"/>
    <row r="1088" hidden="1" x14ac:dyDescent="0.3"/>
    <row r="1089" hidden="1" x14ac:dyDescent="0.3"/>
    <row r="1090" hidden="1" x14ac:dyDescent="0.3"/>
    <row r="1091" hidden="1" x14ac:dyDescent="0.3"/>
    <row r="1092" hidden="1" x14ac:dyDescent="0.3"/>
    <row r="1093" hidden="1" x14ac:dyDescent="0.3"/>
    <row r="1094" hidden="1" x14ac:dyDescent="0.3"/>
    <row r="1095" hidden="1" x14ac:dyDescent="0.3"/>
    <row r="1096" hidden="1" x14ac:dyDescent="0.3"/>
    <row r="1097" hidden="1" x14ac:dyDescent="0.3"/>
    <row r="1098" hidden="1" x14ac:dyDescent="0.3"/>
    <row r="1099" hidden="1" x14ac:dyDescent="0.3"/>
    <row r="1100" hidden="1" x14ac:dyDescent="0.3"/>
    <row r="1101" hidden="1" x14ac:dyDescent="0.3"/>
    <row r="1102" hidden="1" x14ac:dyDescent="0.3"/>
    <row r="1103" hidden="1" x14ac:dyDescent="0.3"/>
    <row r="1104" hidden="1" x14ac:dyDescent="0.3"/>
    <row r="1105" hidden="1" x14ac:dyDescent="0.3"/>
    <row r="1106" hidden="1" x14ac:dyDescent="0.3"/>
    <row r="1107" hidden="1" x14ac:dyDescent="0.3"/>
    <row r="1108" hidden="1" x14ac:dyDescent="0.3"/>
    <row r="1109" hidden="1" x14ac:dyDescent="0.3"/>
    <row r="1110" hidden="1" x14ac:dyDescent="0.3"/>
    <row r="1111" hidden="1" x14ac:dyDescent="0.3"/>
    <row r="1112" hidden="1" x14ac:dyDescent="0.3"/>
    <row r="1113" hidden="1" x14ac:dyDescent="0.3"/>
    <row r="1114" hidden="1" x14ac:dyDescent="0.3"/>
    <row r="1115" hidden="1" x14ac:dyDescent="0.3"/>
    <row r="1116" hidden="1" x14ac:dyDescent="0.3"/>
    <row r="1117" hidden="1" x14ac:dyDescent="0.3"/>
    <row r="1118" hidden="1" x14ac:dyDescent="0.3"/>
    <row r="1119" hidden="1" x14ac:dyDescent="0.3"/>
    <row r="1120" hidden="1" x14ac:dyDescent="0.3"/>
    <row r="1121" hidden="1" x14ac:dyDescent="0.3"/>
    <row r="1122" hidden="1" x14ac:dyDescent="0.3"/>
    <row r="1123" hidden="1" x14ac:dyDescent="0.3"/>
    <row r="1124" hidden="1" x14ac:dyDescent="0.3"/>
    <row r="1125" hidden="1" x14ac:dyDescent="0.3"/>
    <row r="1126" hidden="1" x14ac:dyDescent="0.3"/>
    <row r="1127" hidden="1" x14ac:dyDescent="0.3"/>
    <row r="1128" hidden="1" x14ac:dyDescent="0.3"/>
    <row r="1129" hidden="1" x14ac:dyDescent="0.3"/>
    <row r="1130" hidden="1" x14ac:dyDescent="0.3"/>
    <row r="1131" hidden="1" x14ac:dyDescent="0.3"/>
    <row r="1132" hidden="1" x14ac:dyDescent="0.3"/>
    <row r="1133" hidden="1" x14ac:dyDescent="0.3"/>
    <row r="1134" hidden="1" x14ac:dyDescent="0.3"/>
    <row r="1135" hidden="1" x14ac:dyDescent="0.3"/>
    <row r="1136" hidden="1" x14ac:dyDescent="0.3"/>
    <row r="1137" hidden="1" x14ac:dyDescent="0.3"/>
    <row r="1138" hidden="1" x14ac:dyDescent="0.3"/>
    <row r="1139" hidden="1" x14ac:dyDescent="0.3"/>
    <row r="1140" hidden="1" x14ac:dyDescent="0.3"/>
    <row r="1141" hidden="1" x14ac:dyDescent="0.3"/>
    <row r="1142" hidden="1" x14ac:dyDescent="0.3"/>
    <row r="1143" hidden="1" x14ac:dyDescent="0.3"/>
    <row r="1144" hidden="1" x14ac:dyDescent="0.3"/>
    <row r="1145" hidden="1" x14ac:dyDescent="0.3"/>
    <row r="1146" hidden="1" x14ac:dyDescent="0.3"/>
    <row r="1147" hidden="1" x14ac:dyDescent="0.3"/>
    <row r="1148" hidden="1" x14ac:dyDescent="0.3"/>
    <row r="1149" hidden="1" x14ac:dyDescent="0.3"/>
    <row r="1150" hidden="1" x14ac:dyDescent="0.3"/>
    <row r="1151" hidden="1" x14ac:dyDescent="0.3"/>
    <row r="1152" hidden="1" x14ac:dyDescent="0.3"/>
    <row r="1153" hidden="1" x14ac:dyDescent="0.3"/>
    <row r="1154" hidden="1" x14ac:dyDescent="0.3"/>
    <row r="1155" hidden="1" x14ac:dyDescent="0.3"/>
    <row r="1156" hidden="1" x14ac:dyDescent="0.3"/>
    <row r="1157" hidden="1" x14ac:dyDescent="0.3"/>
    <row r="1158" hidden="1" x14ac:dyDescent="0.3"/>
    <row r="1159" hidden="1" x14ac:dyDescent="0.3"/>
    <row r="1160" hidden="1" x14ac:dyDescent="0.3"/>
    <row r="1161" hidden="1" x14ac:dyDescent="0.3"/>
    <row r="1162" hidden="1" x14ac:dyDescent="0.3"/>
    <row r="1163" hidden="1" x14ac:dyDescent="0.3"/>
    <row r="1164" hidden="1" x14ac:dyDescent="0.3"/>
    <row r="1165" hidden="1" x14ac:dyDescent="0.3"/>
    <row r="1166" hidden="1" x14ac:dyDescent="0.3"/>
    <row r="1167" hidden="1" x14ac:dyDescent="0.3"/>
    <row r="1168" hidden="1" x14ac:dyDescent="0.3"/>
    <row r="1169" hidden="1" x14ac:dyDescent="0.3"/>
    <row r="1170" hidden="1" x14ac:dyDescent="0.3"/>
    <row r="1171" hidden="1" x14ac:dyDescent="0.3"/>
    <row r="1172" hidden="1" x14ac:dyDescent="0.3"/>
    <row r="1173" hidden="1" x14ac:dyDescent="0.3"/>
    <row r="1174" hidden="1" x14ac:dyDescent="0.3"/>
    <row r="1175" hidden="1" x14ac:dyDescent="0.3"/>
    <row r="1176" hidden="1" x14ac:dyDescent="0.3"/>
    <row r="1177" hidden="1" x14ac:dyDescent="0.3"/>
    <row r="1178" hidden="1" x14ac:dyDescent="0.3"/>
    <row r="1179" hidden="1" x14ac:dyDescent="0.3"/>
    <row r="1180" hidden="1" x14ac:dyDescent="0.3"/>
    <row r="1181" hidden="1" x14ac:dyDescent="0.3"/>
    <row r="1182" hidden="1" x14ac:dyDescent="0.3"/>
    <row r="1183" hidden="1" x14ac:dyDescent="0.3"/>
    <row r="1184" hidden="1" x14ac:dyDescent="0.3"/>
    <row r="1185" hidden="1" x14ac:dyDescent="0.3"/>
    <row r="1186" hidden="1" x14ac:dyDescent="0.3"/>
    <row r="1187" hidden="1" x14ac:dyDescent="0.3"/>
    <row r="1188" hidden="1" x14ac:dyDescent="0.3"/>
    <row r="1189" hidden="1" x14ac:dyDescent="0.3"/>
    <row r="1190" hidden="1" x14ac:dyDescent="0.3"/>
    <row r="1191" hidden="1" x14ac:dyDescent="0.3"/>
    <row r="1192" hidden="1" x14ac:dyDescent="0.3"/>
    <row r="1193" hidden="1" x14ac:dyDescent="0.3"/>
    <row r="1194" hidden="1" x14ac:dyDescent="0.3"/>
    <row r="1195" hidden="1" x14ac:dyDescent="0.3"/>
    <row r="1196" hidden="1" x14ac:dyDescent="0.3"/>
    <row r="1197" hidden="1" x14ac:dyDescent="0.3"/>
    <row r="1198" hidden="1" x14ac:dyDescent="0.3"/>
    <row r="1199" hidden="1" x14ac:dyDescent="0.3"/>
    <row r="1200" hidden="1" x14ac:dyDescent="0.3"/>
    <row r="1201" hidden="1" x14ac:dyDescent="0.3"/>
    <row r="1202" hidden="1" x14ac:dyDescent="0.3"/>
    <row r="1203" hidden="1" x14ac:dyDescent="0.3"/>
    <row r="1204" hidden="1" x14ac:dyDescent="0.3"/>
    <row r="1205" hidden="1" x14ac:dyDescent="0.3"/>
    <row r="1206" hidden="1" x14ac:dyDescent="0.3"/>
    <row r="1207" hidden="1" x14ac:dyDescent="0.3"/>
    <row r="1208" hidden="1" x14ac:dyDescent="0.3"/>
    <row r="1209" hidden="1" x14ac:dyDescent="0.3"/>
    <row r="1210" hidden="1" x14ac:dyDescent="0.3"/>
    <row r="1211" hidden="1" x14ac:dyDescent="0.3"/>
    <row r="1212" hidden="1" x14ac:dyDescent="0.3"/>
    <row r="1213" hidden="1" x14ac:dyDescent="0.3"/>
    <row r="1214" hidden="1" x14ac:dyDescent="0.3"/>
    <row r="1215" hidden="1" x14ac:dyDescent="0.3"/>
    <row r="1216" hidden="1" x14ac:dyDescent="0.3"/>
    <row r="1217" hidden="1" x14ac:dyDescent="0.3"/>
    <row r="1218" hidden="1" x14ac:dyDescent="0.3"/>
    <row r="1219" hidden="1" x14ac:dyDescent="0.3"/>
    <row r="1220" hidden="1" x14ac:dyDescent="0.3"/>
    <row r="1221" hidden="1" x14ac:dyDescent="0.3"/>
    <row r="1222" hidden="1" x14ac:dyDescent="0.3"/>
    <row r="1223" hidden="1" x14ac:dyDescent="0.3"/>
    <row r="1224" hidden="1" x14ac:dyDescent="0.3"/>
    <row r="1225" hidden="1" x14ac:dyDescent="0.3"/>
    <row r="1226" hidden="1" x14ac:dyDescent="0.3"/>
    <row r="1227" hidden="1" x14ac:dyDescent="0.3"/>
    <row r="1228" hidden="1" x14ac:dyDescent="0.3"/>
    <row r="1229" hidden="1" x14ac:dyDescent="0.3"/>
    <row r="1230" hidden="1" x14ac:dyDescent="0.3"/>
    <row r="1231" hidden="1" x14ac:dyDescent="0.3"/>
    <row r="1232" hidden="1" x14ac:dyDescent="0.3"/>
    <row r="1233" hidden="1" x14ac:dyDescent="0.3"/>
    <row r="1234" hidden="1" x14ac:dyDescent="0.3"/>
    <row r="1235" hidden="1" x14ac:dyDescent="0.3"/>
    <row r="1236" hidden="1" x14ac:dyDescent="0.3"/>
    <row r="1237" hidden="1" x14ac:dyDescent="0.3"/>
    <row r="1238" hidden="1" x14ac:dyDescent="0.3"/>
    <row r="1239" hidden="1" x14ac:dyDescent="0.3"/>
    <row r="1240" hidden="1" x14ac:dyDescent="0.3"/>
    <row r="1241" hidden="1" x14ac:dyDescent="0.3"/>
    <row r="1242" hidden="1" x14ac:dyDescent="0.3"/>
    <row r="1243" hidden="1" x14ac:dyDescent="0.3"/>
    <row r="1244" hidden="1" x14ac:dyDescent="0.3"/>
    <row r="1245" hidden="1" x14ac:dyDescent="0.3"/>
    <row r="1246" hidden="1" x14ac:dyDescent="0.3"/>
    <row r="1247" hidden="1" x14ac:dyDescent="0.3"/>
    <row r="1248" hidden="1" x14ac:dyDescent="0.3"/>
    <row r="1249" hidden="1" x14ac:dyDescent="0.3"/>
    <row r="1250" hidden="1" x14ac:dyDescent="0.3"/>
    <row r="1251" hidden="1" x14ac:dyDescent="0.3"/>
    <row r="1252" hidden="1" x14ac:dyDescent="0.3"/>
    <row r="1253" hidden="1" x14ac:dyDescent="0.3"/>
    <row r="1254" hidden="1" x14ac:dyDescent="0.3"/>
    <row r="1255" hidden="1" x14ac:dyDescent="0.3"/>
    <row r="1256" hidden="1" x14ac:dyDescent="0.3"/>
    <row r="1257" hidden="1" x14ac:dyDescent="0.3"/>
    <row r="1258" hidden="1" x14ac:dyDescent="0.3"/>
    <row r="1259" hidden="1" x14ac:dyDescent="0.3"/>
    <row r="1260" hidden="1" x14ac:dyDescent="0.3"/>
    <row r="1261" hidden="1" x14ac:dyDescent="0.3"/>
    <row r="1262" hidden="1" x14ac:dyDescent="0.3"/>
    <row r="1263" hidden="1" x14ac:dyDescent="0.3"/>
    <row r="1264" hidden="1" x14ac:dyDescent="0.3"/>
    <row r="1265" hidden="1" x14ac:dyDescent="0.3"/>
    <row r="1266" hidden="1" x14ac:dyDescent="0.3"/>
    <row r="1267" hidden="1" x14ac:dyDescent="0.3"/>
    <row r="1268" hidden="1" x14ac:dyDescent="0.3"/>
    <row r="1269" hidden="1" x14ac:dyDescent="0.3"/>
    <row r="1270" hidden="1" x14ac:dyDescent="0.3"/>
    <row r="1271" hidden="1" x14ac:dyDescent="0.3"/>
    <row r="1272" hidden="1" x14ac:dyDescent="0.3"/>
    <row r="1273" hidden="1" x14ac:dyDescent="0.3"/>
    <row r="1274" hidden="1" x14ac:dyDescent="0.3"/>
    <row r="1275" hidden="1" x14ac:dyDescent="0.3"/>
    <row r="1276" hidden="1" x14ac:dyDescent="0.3"/>
    <row r="1277" hidden="1" x14ac:dyDescent="0.3"/>
    <row r="1278" hidden="1" x14ac:dyDescent="0.3"/>
    <row r="1279" hidden="1" x14ac:dyDescent="0.3"/>
    <row r="1280" hidden="1" x14ac:dyDescent="0.3"/>
    <row r="1281" hidden="1" x14ac:dyDescent="0.3"/>
    <row r="1282" hidden="1" x14ac:dyDescent="0.3"/>
    <row r="1283" hidden="1" x14ac:dyDescent="0.3"/>
    <row r="1284" hidden="1" x14ac:dyDescent="0.3"/>
    <row r="1285" hidden="1" x14ac:dyDescent="0.3"/>
    <row r="1286" hidden="1" x14ac:dyDescent="0.3"/>
    <row r="1287" hidden="1" x14ac:dyDescent="0.3"/>
    <row r="1288" hidden="1" x14ac:dyDescent="0.3"/>
    <row r="1289" hidden="1" x14ac:dyDescent="0.3"/>
    <row r="1290" hidden="1" x14ac:dyDescent="0.3"/>
    <row r="1291" hidden="1" x14ac:dyDescent="0.3"/>
    <row r="1292" hidden="1" x14ac:dyDescent="0.3"/>
    <row r="1293" hidden="1" x14ac:dyDescent="0.3"/>
    <row r="1294" hidden="1" x14ac:dyDescent="0.3"/>
    <row r="1295" hidden="1" x14ac:dyDescent="0.3"/>
    <row r="1296" hidden="1" x14ac:dyDescent="0.3"/>
    <row r="1297" hidden="1" x14ac:dyDescent="0.3"/>
    <row r="1298" hidden="1" x14ac:dyDescent="0.3"/>
    <row r="1299" hidden="1" x14ac:dyDescent="0.3"/>
    <row r="1300" hidden="1" x14ac:dyDescent="0.3"/>
    <row r="1301" hidden="1" x14ac:dyDescent="0.3"/>
    <row r="1302" hidden="1" x14ac:dyDescent="0.3"/>
    <row r="1303" hidden="1" x14ac:dyDescent="0.3"/>
    <row r="1304" hidden="1" x14ac:dyDescent="0.3"/>
    <row r="1305" hidden="1" x14ac:dyDescent="0.3"/>
    <row r="1306" hidden="1" x14ac:dyDescent="0.3"/>
    <row r="1307" hidden="1" x14ac:dyDescent="0.3"/>
    <row r="1308" hidden="1" x14ac:dyDescent="0.3"/>
    <row r="1309" hidden="1" x14ac:dyDescent="0.3"/>
    <row r="1310" hidden="1" x14ac:dyDescent="0.3"/>
    <row r="1311" hidden="1" x14ac:dyDescent="0.3"/>
    <row r="1312" hidden="1" x14ac:dyDescent="0.3"/>
    <row r="1313" hidden="1" x14ac:dyDescent="0.3"/>
    <row r="1314" hidden="1" x14ac:dyDescent="0.3"/>
    <row r="1315" hidden="1" x14ac:dyDescent="0.3"/>
    <row r="1316" hidden="1" x14ac:dyDescent="0.3"/>
    <row r="1317" hidden="1" x14ac:dyDescent="0.3"/>
    <row r="1318" hidden="1" x14ac:dyDescent="0.3"/>
    <row r="1319" hidden="1" x14ac:dyDescent="0.3"/>
    <row r="1320" hidden="1" x14ac:dyDescent="0.3"/>
    <row r="1321" hidden="1" x14ac:dyDescent="0.3"/>
    <row r="1322" hidden="1" x14ac:dyDescent="0.3"/>
    <row r="1323" hidden="1" x14ac:dyDescent="0.3"/>
    <row r="1324" hidden="1" x14ac:dyDescent="0.3"/>
    <row r="1325" hidden="1" x14ac:dyDescent="0.3"/>
    <row r="1326" hidden="1" x14ac:dyDescent="0.3"/>
    <row r="1327" hidden="1" x14ac:dyDescent="0.3"/>
    <row r="1328" hidden="1" x14ac:dyDescent="0.3"/>
    <row r="1329" hidden="1" x14ac:dyDescent="0.3"/>
    <row r="1330" hidden="1" x14ac:dyDescent="0.3"/>
    <row r="1331" hidden="1" x14ac:dyDescent="0.3"/>
    <row r="1332" hidden="1" x14ac:dyDescent="0.3"/>
    <row r="1333" hidden="1" x14ac:dyDescent="0.3"/>
    <row r="1334" hidden="1" x14ac:dyDescent="0.3"/>
    <row r="1335" hidden="1" x14ac:dyDescent="0.3"/>
    <row r="1336" hidden="1" x14ac:dyDescent="0.3"/>
    <row r="1337" hidden="1" x14ac:dyDescent="0.3"/>
    <row r="1338" hidden="1" x14ac:dyDescent="0.3"/>
    <row r="1339" hidden="1" x14ac:dyDescent="0.3"/>
    <row r="1340" hidden="1" x14ac:dyDescent="0.3"/>
    <row r="1341" hidden="1" x14ac:dyDescent="0.3"/>
    <row r="1342" hidden="1" x14ac:dyDescent="0.3"/>
    <row r="1343" hidden="1" x14ac:dyDescent="0.3"/>
    <row r="1344" hidden="1" x14ac:dyDescent="0.3"/>
    <row r="1345" hidden="1" x14ac:dyDescent="0.3"/>
    <row r="1346" hidden="1" x14ac:dyDescent="0.3"/>
    <row r="1347" hidden="1" x14ac:dyDescent="0.3"/>
    <row r="1348" hidden="1" x14ac:dyDescent="0.3"/>
    <row r="1349" hidden="1" x14ac:dyDescent="0.3"/>
    <row r="1350" hidden="1" x14ac:dyDescent="0.3"/>
    <row r="1351" hidden="1" x14ac:dyDescent="0.3"/>
    <row r="1352" hidden="1" x14ac:dyDescent="0.3"/>
    <row r="1353" hidden="1" x14ac:dyDescent="0.3"/>
    <row r="1354" hidden="1" x14ac:dyDescent="0.3"/>
    <row r="1355" hidden="1" x14ac:dyDescent="0.3"/>
    <row r="1356" hidden="1" x14ac:dyDescent="0.3"/>
    <row r="1357" hidden="1" x14ac:dyDescent="0.3"/>
    <row r="1358" hidden="1" x14ac:dyDescent="0.3"/>
    <row r="1359" hidden="1" x14ac:dyDescent="0.3"/>
    <row r="1360" hidden="1" x14ac:dyDescent="0.3"/>
    <row r="1361" hidden="1" x14ac:dyDescent="0.3"/>
    <row r="1362" hidden="1" x14ac:dyDescent="0.3"/>
    <row r="1363" hidden="1" x14ac:dyDescent="0.3"/>
    <row r="1364" hidden="1" x14ac:dyDescent="0.3"/>
    <row r="1365" hidden="1" x14ac:dyDescent="0.3"/>
    <row r="1366" hidden="1" x14ac:dyDescent="0.3"/>
    <row r="1367" hidden="1" x14ac:dyDescent="0.3"/>
    <row r="1368" hidden="1" x14ac:dyDescent="0.3"/>
    <row r="1369" hidden="1" x14ac:dyDescent="0.3"/>
    <row r="1370" hidden="1" x14ac:dyDescent="0.3"/>
    <row r="1371" hidden="1" x14ac:dyDescent="0.3"/>
    <row r="1372" hidden="1" x14ac:dyDescent="0.3"/>
    <row r="1373" hidden="1" x14ac:dyDescent="0.3"/>
    <row r="1374" hidden="1" x14ac:dyDescent="0.3"/>
    <row r="1375" hidden="1" x14ac:dyDescent="0.3"/>
    <row r="1376" hidden="1" x14ac:dyDescent="0.3"/>
    <row r="1377" hidden="1" x14ac:dyDescent="0.3"/>
    <row r="1378" hidden="1" x14ac:dyDescent="0.3"/>
    <row r="1379" hidden="1" x14ac:dyDescent="0.3"/>
    <row r="1380" hidden="1" x14ac:dyDescent="0.3"/>
    <row r="1381" hidden="1" x14ac:dyDescent="0.3"/>
    <row r="1382" hidden="1" x14ac:dyDescent="0.3"/>
    <row r="1383" hidden="1" x14ac:dyDescent="0.3"/>
    <row r="1384" hidden="1" x14ac:dyDescent="0.3"/>
    <row r="1385" hidden="1" x14ac:dyDescent="0.3"/>
    <row r="1386" hidden="1" x14ac:dyDescent="0.3"/>
    <row r="1387" hidden="1" x14ac:dyDescent="0.3"/>
    <row r="1388" hidden="1" x14ac:dyDescent="0.3"/>
    <row r="1389" hidden="1" x14ac:dyDescent="0.3"/>
    <row r="1390" hidden="1" x14ac:dyDescent="0.3"/>
    <row r="1391" hidden="1" x14ac:dyDescent="0.3"/>
    <row r="1392" hidden="1" x14ac:dyDescent="0.3"/>
    <row r="1393" hidden="1" x14ac:dyDescent="0.3"/>
    <row r="1394" hidden="1" x14ac:dyDescent="0.3"/>
    <row r="1395" hidden="1" x14ac:dyDescent="0.3"/>
    <row r="1396" hidden="1" x14ac:dyDescent="0.3"/>
    <row r="1397" hidden="1" x14ac:dyDescent="0.3"/>
    <row r="1398" hidden="1" x14ac:dyDescent="0.3"/>
    <row r="1399" hidden="1" x14ac:dyDescent="0.3"/>
    <row r="1400" hidden="1" x14ac:dyDescent="0.3"/>
    <row r="1401" hidden="1" x14ac:dyDescent="0.3"/>
    <row r="1402" hidden="1" x14ac:dyDescent="0.3"/>
    <row r="1403" hidden="1" x14ac:dyDescent="0.3"/>
    <row r="1404" hidden="1" x14ac:dyDescent="0.3"/>
    <row r="1405" hidden="1" x14ac:dyDescent="0.3"/>
    <row r="1406" hidden="1" x14ac:dyDescent="0.3"/>
    <row r="1407" hidden="1" x14ac:dyDescent="0.3"/>
    <row r="1408" hidden="1" x14ac:dyDescent="0.3"/>
    <row r="1409" hidden="1" x14ac:dyDescent="0.3"/>
    <row r="1410" hidden="1" x14ac:dyDescent="0.3"/>
    <row r="1411" hidden="1" x14ac:dyDescent="0.3"/>
    <row r="1412" hidden="1" x14ac:dyDescent="0.3"/>
    <row r="1413" hidden="1" x14ac:dyDescent="0.3"/>
    <row r="1414" hidden="1" x14ac:dyDescent="0.3"/>
    <row r="1415" hidden="1" x14ac:dyDescent="0.3"/>
    <row r="1416" hidden="1" x14ac:dyDescent="0.3"/>
    <row r="1417" hidden="1" x14ac:dyDescent="0.3"/>
    <row r="1418" hidden="1" x14ac:dyDescent="0.3"/>
    <row r="1419" hidden="1" x14ac:dyDescent="0.3"/>
    <row r="1420" hidden="1" x14ac:dyDescent="0.3"/>
    <row r="1421" hidden="1" x14ac:dyDescent="0.3"/>
    <row r="1422" hidden="1" x14ac:dyDescent="0.3"/>
    <row r="1423" hidden="1" x14ac:dyDescent="0.3"/>
    <row r="1424" hidden="1" x14ac:dyDescent="0.3"/>
    <row r="1425" hidden="1" x14ac:dyDescent="0.3"/>
    <row r="1426" hidden="1" x14ac:dyDescent="0.3"/>
    <row r="1427" hidden="1" x14ac:dyDescent="0.3"/>
    <row r="1428" hidden="1" x14ac:dyDescent="0.3"/>
    <row r="1429" hidden="1" x14ac:dyDescent="0.3"/>
    <row r="1430" hidden="1" x14ac:dyDescent="0.3"/>
    <row r="1431" hidden="1" x14ac:dyDescent="0.3"/>
    <row r="1432" hidden="1" x14ac:dyDescent="0.3"/>
    <row r="1433" hidden="1" x14ac:dyDescent="0.3"/>
    <row r="1434" hidden="1" x14ac:dyDescent="0.3"/>
    <row r="1435" hidden="1" x14ac:dyDescent="0.3"/>
    <row r="1436" hidden="1" x14ac:dyDescent="0.3"/>
    <row r="1437" hidden="1" x14ac:dyDescent="0.3"/>
    <row r="1438" hidden="1" x14ac:dyDescent="0.3"/>
    <row r="1439" hidden="1" x14ac:dyDescent="0.3"/>
    <row r="1440" hidden="1" x14ac:dyDescent="0.3"/>
    <row r="1441" hidden="1" x14ac:dyDescent="0.3"/>
    <row r="1442" hidden="1" x14ac:dyDescent="0.3"/>
    <row r="1443" hidden="1" x14ac:dyDescent="0.3"/>
    <row r="1444" hidden="1" x14ac:dyDescent="0.3"/>
    <row r="1445" hidden="1" x14ac:dyDescent="0.3"/>
    <row r="1446" hidden="1" x14ac:dyDescent="0.3"/>
    <row r="1447" hidden="1" x14ac:dyDescent="0.3"/>
    <row r="1448" hidden="1" x14ac:dyDescent="0.3"/>
    <row r="1449" hidden="1" x14ac:dyDescent="0.3"/>
    <row r="1450" hidden="1" x14ac:dyDescent="0.3"/>
    <row r="1451" hidden="1" x14ac:dyDescent="0.3"/>
    <row r="1452" hidden="1" x14ac:dyDescent="0.3"/>
    <row r="1453" hidden="1" x14ac:dyDescent="0.3"/>
    <row r="1454" hidden="1" x14ac:dyDescent="0.3"/>
    <row r="1455" hidden="1" x14ac:dyDescent="0.3"/>
    <row r="1456" hidden="1" x14ac:dyDescent="0.3"/>
    <row r="1457" hidden="1" x14ac:dyDescent="0.3"/>
    <row r="1458" hidden="1" x14ac:dyDescent="0.3"/>
    <row r="1459" hidden="1" x14ac:dyDescent="0.3"/>
    <row r="1460" hidden="1" x14ac:dyDescent="0.3"/>
    <row r="1461" hidden="1" x14ac:dyDescent="0.3"/>
    <row r="1462" hidden="1" x14ac:dyDescent="0.3"/>
    <row r="1463" hidden="1" x14ac:dyDescent="0.3"/>
    <row r="1464" hidden="1" x14ac:dyDescent="0.3"/>
    <row r="1465" hidden="1" x14ac:dyDescent="0.3"/>
    <row r="1466" hidden="1" x14ac:dyDescent="0.3"/>
    <row r="1467" hidden="1" x14ac:dyDescent="0.3"/>
    <row r="1468" hidden="1" x14ac:dyDescent="0.3"/>
    <row r="1469" hidden="1" x14ac:dyDescent="0.3"/>
    <row r="1470" hidden="1" x14ac:dyDescent="0.3"/>
    <row r="1471" hidden="1" x14ac:dyDescent="0.3"/>
    <row r="1472" hidden="1" x14ac:dyDescent="0.3"/>
    <row r="1473" hidden="1" x14ac:dyDescent="0.3"/>
    <row r="1474" hidden="1" x14ac:dyDescent="0.3"/>
    <row r="1475" hidden="1" x14ac:dyDescent="0.3"/>
    <row r="1476" hidden="1" x14ac:dyDescent="0.3"/>
    <row r="1477" hidden="1" x14ac:dyDescent="0.3"/>
    <row r="1478" hidden="1" x14ac:dyDescent="0.3"/>
    <row r="1479" hidden="1" x14ac:dyDescent="0.3"/>
    <row r="1480" hidden="1" x14ac:dyDescent="0.3"/>
    <row r="1481" hidden="1" x14ac:dyDescent="0.3"/>
    <row r="1482" hidden="1" x14ac:dyDescent="0.3"/>
    <row r="1483" hidden="1" x14ac:dyDescent="0.3"/>
    <row r="1484" hidden="1" x14ac:dyDescent="0.3"/>
    <row r="1485" hidden="1" x14ac:dyDescent="0.3"/>
    <row r="1486" hidden="1" x14ac:dyDescent="0.3"/>
    <row r="1487" hidden="1" x14ac:dyDescent="0.3"/>
    <row r="1488" hidden="1" x14ac:dyDescent="0.3"/>
    <row r="1489" hidden="1" x14ac:dyDescent="0.3"/>
    <row r="1490" hidden="1" x14ac:dyDescent="0.3"/>
    <row r="1491" hidden="1" x14ac:dyDescent="0.3"/>
    <row r="1492" hidden="1" x14ac:dyDescent="0.3"/>
    <row r="1493" hidden="1" x14ac:dyDescent="0.3"/>
    <row r="1494" hidden="1" x14ac:dyDescent="0.3"/>
    <row r="1495" hidden="1" x14ac:dyDescent="0.3"/>
    <row r="1496" hidden="1" x14ac:dyDescent="0.3"/>
    <row r="1497" hidden="1" x14ac:dyDescent="0.3"/>
    <row r="1498" hidden="1" x14ac:dyDescent="0.3"/>
    <row r="1499" hidden="1" x14ac:dyDescent="0.3"/>
    <row r="1500" hidden="1" x14ac:dyDescent="0.3"/>
    <row r="1501" hidden="1" x14ac:dyDescent="0.3"/>
    <row r="1502" hidden="1" x14ac:dyDescent="0.3"/>
    <row r="1503" hidden="1" x14ac:dyDescent="0.3"/>
    <row r="1504" hidden="1" x14ac:dyDescent="0.3"/>
    <row r="1505" hidden="1" x14ac:dyDescent="0.3"/>
    <row r="1506" hidden="1" x14ac:dyDescent="0.3"/>
    <row r="1507" hidden="1" x14ac:dyDescent="0.3"/>
    <row r="1508" hidden="1" x14ac:dyDescent="0.3"/>
    <row r="1509" hidden="1" x14ac:dyDescent="0.3"/>
    <row r="1510" hidden="1" x14ac:dyDescent="0.3"/>
    <row r="1511" hidden="1" x14ac:dyDescent="0.3"/>
    <row r="1512" hidden="1" x14ac:dyDescent="0.3"/>
    <row r="1513" hidden="1" x14ac:dyDescent="0.3"/>
    <row r="1514" hidden="1" x14ac:dyDescent="0.3"/>
    <row r="1515" hidden="1" x14ac:dyDescent="0.3"/>
    <row r="1516" hidden="1" x14ac:dyDescent="0.3"/>
    <row r="1517" hidden="1" x14ac:dyDescent="0.3"/>
    <row r="1518" hidden="1" x14ac:dyDescent="0.3"/>
    <row r="1519" hidden="1" x14ac:dyDescent="0.3"/>
    <row r="1520" hidden="1" x14ac:dyDescent="0.3"/>
    <row r="1521" hidden="1" x14ac:dyDescent="0.3"/>
    <row r="1522" hidden="1" x14ac:dyDescent="0.3"/>
    <row r="1523" hidden="1" x14ac:dyDescent="0.3"/>
    <row r="1524" hidden="1" x14ac:dyDescent="0.3"/>
    <row r="1525" hidden="1" x14ac:dyDescent="0.3"/>
    <row r="1526" hidden="1" x14ac:dyDescent="0.3"/>
    <row r="1527" hidden="1" x14ac:dyDescent="0.3"/>
    <row r="1528" hidden="1" x14ac:dyDescent="0.3"/>
    <row r="1529" hidden="1" x14ac:dyDescent="0.3"/>
    <row r="1530" hidden="1" x14ac:dyDescent="0.3"/>
    <row r="1531" hidden="1" x14ac:dyDescent="0.3"/>
    <row r="1532" hidden="1" x14ac:dyDescent="0.3"/>
    <row r="1533" hidden="1" x14ac:dyDescent="0.3"/>
    <row r="1534" hidden="1" x14ac:dyDescent="0.3"/>
    <row r="1535" hidden="1" x14ac:dyDescent="0.3"/>
    <row r="1536" hidden="1" x14ac:dyDescent="0.3"/>
    <row r="1537" hidden="1" x14ac:dyDescent="0.3"/>
    <row r="1538" hidden="1" x14ac:dyDescent="0.3"/>
    <row r="1539" hidden="1" x14ac:dyDescent="0.3"/>
    <row r="1540" hidden="1" x14ac:dyDescent="0.3"/>
    <row r="1541" hidden="1" x14ac:dyDescent="0.3"/>
    <row r="1542" hidden="1" x14ac:dyDescent="0.3"/>
    <row r="1543" hidden="1" x14ac:dyDescent="0.3"/>
    <row r="1544" hidden="1" x14ac:dyDescent="0.3"/>
    <row r="1545" hidden="1" x14ac:dyDescent="0.3"/>
    <row r="1546" hidden="1" x14ac:dyDescent="0.3"/>
    <row r="1547" hidden="1" x14ac:dyDescent="0.3"/>
    <row r="1548" hidden="1" x14ac:dyDescent="0.3"/>
    <row r="1549" hidden="1" x14ac:dyDescent="0.3"/>
    <row r="1550" hidden="1" x14ac:dyDescent="0.3"/>
    <row r="1551" hidden="1" x14ac:dyDescent="0.3"/>
    <row r="1552" hidden="1" x14ac:dyDescent="0.3"/>
    <row r="1553" hidden="1" x14ac:dyDescent="0.3"/>
    <row r="1554" hidden="1" x14ac:dyDescent="0.3"/>
    <row r="1555" hidden="1" x14ac:dyDescent="0.3"/>
    <row r="1556" hidden="1" x14ac:dyDescent="0.3"/>
    <row r="1557" hidden="1" x14ac:dyDescent="0.3"/>
    <row r="1558" hidden="1" x14ac:dyDescent="0.3"/>
    <row r="1559" hidden="1" x14ac:dyDescent="0.3"/>
    <row r="1560" hidden="1" x14ac:dyDescent="0.3"/>
    <row r="1561" hidden="1" x14ac:dyDescent="0.3"/>
    <row r="1562" hidden="1" x14ac:dyDescent="0.3"/>
    <row r="1563" hidden="1" x14ac:dyDescent="0.3"/>
    <row r="1564" hidden="1" x14ac:dyDescent="0.3"/>
    <row r="1565" hidden="1" x14ac:dyDescent="0.3"/>
    <row r="1566" hidden="1" x14ac:dyDescent="0.3"/>
    <row r="1567" hidden="1" x14ac:dyDescent="0.3"/>
    <row r="1568" hidden="1" x14ac:dyDescent="0.3"/>
    <row r="1569" hidden="1" x14ac:dyDescent="0.3"/>
    <row r="1570" hidden="1" x14ac:dyDescent="0.3"/>
    <row r="1571" hidden="1" x14ac:dyDescent="0.3"/>
    <row r="1572" hidden="1" x14ac:dyDescent="0.3"/>
    <row r="1573" hidden="1" x14ac:dyDescent="0.3"/>
    <row r="1574" hidden="1" x14ac:dyDescent="0.3"/>
    <row r="1575" hidden="1" x14ac:dyDescent="0.3"/>
    <row r="1576" hidden="1" x14ac:dyDescent="0.3"/>
    <row r="1577" hidden="1" x14ac:dyDescent="0.3"/>
    <row r="1578" hidden="1" x14ac:dyDescent="0.3"/>
    <row r="1579" hidden="1" x14ac:dyDescent="0.3"/>
    <row r="1580" hidden="1" x14ac:dyDescent="0.3"/>
    <row r="1581" hidden="1" x14ac:dyDescent="0.3"/>
    <row r="1582" hidden="1" x14ac:dyDescent="0.3"/>
    <row r="1583" hidden="1" x14ac:dyDescent="0.3"/>
    <row r="1584" hidden="1" x14ac:dyDescent="0.3"/>
    <row r="1585" hidden="1" x14ac:dyDescent="0.3"/>
    <row r="1586" hidden="1" x14ac:dyDescent="0.3"/>
    <row r="1587" hidden="1" x14ac:dyDescent="0.3"/>
  </sheetData>
  <autoFilter ref="A1:M1587">
    <filterColumn colId="8">
      <filters>
        <filter val="Green"/>
      </filters>
    </filterColumn>
  </autoFilter>
  <sortState ref="A2:M1587">
    <sortCondition descending="1" ref="B2:B1587"/>
    <sortCondition ref="C2:C1587"/>
    <sortCondition descending="1" ref="D2:D1587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31"/>
  <sheetViews>
    <sheetView tabSelected="1" workbookViewId="0">
      <selection activeCell="K21" sqref="K21"/>
    </sheetView>
  </sheetViews>
  <sheetFormatPr defaultRowHeight="14.4" x14ac:dyDescent="0.3"/>
  <cols>
    <col min="1" max="1" width="14.33203125" customWidth="1"/>
    <col min="2" max="2" width="16.44140625" customWidth="1"/>
    <col min="5" max="5" width="13.33203125" bestFit="1" customWidth="1"/>
    <col min="6" max="6" width="9.33203125" customWidth="1"/>
    <col min="10" max="10" width="12.6640625" bestFit="1" customWidth="1"/>
    <col min="14" max="14" width="10.109375" bestFit="1" customWidth="1"/>
  </cols>
  <sheetData>
    <row r="1" spans="1:14" x14ac:dyDescent="0.3">
      <c r="A1" t="s">
        <v>1</v>
      </c>
      <c r="B1" s="23">
        <v>43639.541666666664</v>
      </c>
    </row>
    <row r="2" spans="1:14" x14ac:dyDescent="0.3">
      <c r="A2" t="s">
        <v>5</v>
      </c>
      <c r="B2" t="s">
        <v>63</v>
      </c>
    </row>
    <row r="3" spans="1:14" x14ac:dyDescent="0.3">
      <c r="A3" t="s">
        <v>6</v>
      </c>
      <c r="B3" s="2">
        <v>5</v>
      </c>
      <c r="D3">
        <f>VLOOKUP(CONCATENATE(B3,B2),Courses!A2:D100,4,FALSE)</f>
        <v>170</v>
      </c>
      <c r="E3">
        <f>VLOOKUP(CONCATENATE(B3,B2),Courses!A2:F100,6,FALSE)</f>
        <v>3</v>
      </c>
      <c r="M3" s="18"/>
      <c r="N3" s="18"/>
    </row>
    <row r="4" spans="1:14" x14ac:dyDescent="0.3">
      <c r="A4" t="s">
        <v>69</v>
      </c>
      <c r="B4" s="6" t="s">
        <v>7</v>
      </c>
      <c r="C4" t="s">
        <v>45</v>
      </c>
      <c r="D4" t="s">
        <v>70</v>
      </c>
      <c r="E4" t="s">
        <v>59</v>
      </c>
      <c r="F4" t="s">
        <v>46</v>
      </c>
      <c r="M4" s="18"/>
      <c r="N4" s="18"/>
    </row>
    <row r="5" spans="1:14" x14ac:dyDescent="0.3">
      <c r="A5" s="15">
        <f>IF(AND(ISBLANK(C5),ISBLANK(D5)),IF(AND(ISBLANK(C4),ISBLANK(D4)),"--","X"),IF(ISBLANK(C5),D5/3,C5*PGA!$V$3))</f>
        <v>334.64566979999995</v>
      </c>
      <c r="B5">
        <f t="shared" ref="B5:B7" si="0">IF(OR(A5="--",A5="X"),"",1)</f>
        <v>1</v>
      </c>
      <c r="C5" s="2">
        <v>306</v>
      </c>
      <c r="D5" s="2"/>
      <c r="E5" s="2"/>
      <c r="F5" s="2" t="s">
        <v>68</v>
      </c>
    </row>
    <row r="6" spans="1:14" x14ac:dyDescent="0.3">
      <c r="A6" s="15">
        <f>IF(AND(ISBLANK(C6),ISBLANK(D6)),IF(AND(ISBLANK(C5),ISBLANK(D5)),"--","X"),IF(ISBLANK(C6),D6/3,C6*PGA!$V$3))</f>
        <v>134.5144359</v>
      </c>
      <c r="B6">
        <f>IF(OR(A6="--",A6="X"),"",1)</f>
        <v>1</v>
      </c>
      <c r="C6" s="2">
        <v>123</v>
      </c>
      <c r="D6" s="2"/>
      <c r="E6" s="2">
        <v>14</v>
      </c>
      <c r="F6" s="2" t="s">
        <v>60</v>
      </c>
    </row>
    <row r="7" spans="1:14" x14ac:dyDescent="0.3">
      <c r="A7" s="15">
        <f>IF(AND(ISBLANK(C7),ISBLANK(D7)),IF(AND(ISBLANK(C6),ISBLANK(D6)),"--","X"),IF(ISBLANK(C7),D7/3,C7*PGA!$V$3))</f>
        <v>15.310586199999999</v>
      </c>
      <c r="B7">
        <f t="shared" si="0"/>
        <v>1</v>
      </c>
      <c r="C7" s="2">
        <v>14</v>
      </c>
      <c r="D7" s="2"/>
      <c r="E7" s="2" t="s">
        <v>111</v>
      </c>
      <c r="F7" s="2" t="s">
        <v>50</v>
      </c>
    </row>
    <row r="8" spans="1:14" x14ac:dyDescent="0.3">
      <c r="A8" s="15">
        <f>IF(AND(ISBLANK(C8),ISBLANK(D8)),IF(AND(ISBLANK(C7),ISBLANK(D7)),"--","X"),IF(ISBLANK(C8),D8/3,C8*PGA!$V$3))</f>
        <v>1.3333333333333333</v>
      </c>
      <c r="B8">
        <f>IF(OR(A8="--",A8="X"),"",1)</f>
        <v>1</v>
      </c>
      <c r="C8" s="2"/>
      <c r="D8" s="2">
        <v>4</v>
      </c>
      <c r="E8" s="2"/>
      <c r="F8" s="2" t="s">
        <v>50</v>
      </c>
    </row>
    <row r="9" spans="1:14" x14ac:dyDescent="0.3">
      <c r="A9" s="15" t="str">
        <f>IF(AND(ISBLANK(C9),ISBLANK(D9)),IF(AND(ISBLANK(C8),ISBLANK(D8)),"--","X"),IF(ISBLANK(C9),D9/3,C9*PGA!$V$3))</f>
        <v>X</v>
      </c>
      <c r="B9" t="str">
        <f t="shared" ref="B9:B17" si="1">IF(OR(A9="--",A9="X"),"",1)</f>
        <v/>
      </c>
      <c r="C9" s="2"/>
      <c r="D9" s="2"/>
      <c r="E9" s="2"/>
      <c r="F9" s="2"/>
    </row>
    <row r="10" spans="1:14" ht="15" customHeight="1" x14ac:dyDescent="0.3">
      <c r="A10" s="15" t="str">
        <f>IF(AND(ISBLANK(C10),ISBLANK(D10)),IF(AND(ISBLANK(C9),ISBLANK(D9)),"--","X"),IF(ISBLANK(C10),D10/3,C10*PGA!$V$3))</f>
        <v>--</v>
      </c>
      <c r="B10" t="str">
        <f t="shared" si="1"/>
        <v/>
      </c>
      <c r="C10" s="2"/>
      <c r="D10" s="2"/>
      <c r="E10" s="2"/>
      <c r="F10" s="2"/>
    </row>
    <row r="11" spans="1:14" x14ac:dyDescent="0.3">
      <c r="A11" s="15" t="str">
        <f>IF(AND(ISBLANK(C11),ISBLANK(D11)),IF(AND(ISBLANK(C10),ISBLANK(D10)),"--","X"),IF(ISBLANK(C11),D11/3,C11*PGA!$V$3))</f>
        <v>--</v>
      </c>
      <c r="B11" t="str">
        <f t="shared" si="1"/>
        <v/>
      </c>
      <c r="C11" s="2"/>
      <c r="D11" s="2"/>
      <c r="E11" s="2"/>
      <c r="F11" s="2"/>
    </row>
    <row r="12" spans="1:14" x14ac:dyDescent="0.3">
      <c r="A12" s="15" t="str">
        <f>IF(AND(ISBLANK(C12),ISBLANK(D12)),IF(AND(ISBLANK(C11),ISBLANK(D11)),"--","X"),IF(ISBLANK(C12),D12/3,C12*PGA!$V$3))</f>
        <v>--</v>
      </c>
      <c r="B12" t="str">
        <f t="shared" si="1"/>
        <v/>
      </c>
      <c r="C12" s="2"/>
      <c r="D12" s="2"/>
      <c r="E12" s="2"/>
      <c r="F12" s="2"/>
    </row>
    <row r="13" spans="1:14" x14ac:dyDescent="0.3">
      <c r="A13" s="15" t="str">
        <f>IF(AND(ISBLANK(C13),ISBLANK(D13)),IF(AND(ISBLANK(C12),ISBLANK(D12)),"--","X"),IF(ISBLANK(C13),D13/3,C13*PGA!$V$3))</f>
        <v>--</v>
      </c>
      <c r="B13" t="str">
        <f t="shared" si="1"/>
        <v/>
      </c>
      <c r="C13" s="2"/>
      <c r="D13" s="2"/>
      <c r="E13" s="2"/>
      <c r="F13" s="2"/>
    </row>
    <row r="14" spans="1:14" x14ac:dyDescent="0.3">
      <c r="A14" s="15" t="str">
        <f>IF(AND(ISBLANK(C14),ISBLANK(D14)),IF(AND(ISBLANK(C13),ISBLANK(D13)),"--","X"),IF(ISBLANK(C14),D14/3,C14*PGA!$V$3))</f>
        <v>--</v>
      </c>
      <c r="B14" t="str">
        <f t="shared" si="1"/>
        <v/>
      </c>
      <c r="C14" s="2"/>
      <c r="D14" s="2"/>
      <c r="E14" s="2"/>
      <c r="F14" s="2"/>
    </row>
    <row r="15" spans="1:14" x14ac:dyDescent="0.3">
      <c r="A15" s="15" t="str">
        <f>IF(AND(ISBLANK(C15),ISBLANK(D15)),IF(AND(ISBLANK(C14),ISBLANK(D14)),"--","X"),IF(ISBLANK(C15),D15/3,C15*PGA!$V$3))</f>
        <v>--</v>
      </c>
      <c r="B15" t="str">
        <f t="shared" si="1"/>
        <v/>
      </c>
      <c r="C15" s="2"/>
      <c r="D15" s="2"/>
      <c r="E15" s="2"/>
      <c r="F15" s="2"/>
    </row>
    <row r="16" spans="1:14" x14ac:dyDescent="0.3">
      <c r="A16" s="15" t="str">
        <f>IF(AND(ISBLANK(C16),ISBLANK(D16)),IF(AND(ISBLANK(C15),ISBLANK(D15)),"--","X"),IF(ISBLANK(C16),D16/3,C16*PGA!$V$3))</f>
        <v>--</v>
      </c>
      <c r="B16" t="str">
        <f t="shared" si="1"/>
        <v/>
      </c>
      <c r="C16" s="2"/>
      <c r="D16" s="2"/>
      <c r="E16" s="2"/>
      <c r="F16" s="2"/>
    </row>
    <row r="17" spans="1:12" x14ac:dyDescent="0.3">
      <c r="A17" s="15" t="str">
        <f>IF(AND(ISBLANK(C17),ISBLANK(D17)),IF(AND(ISBLANK(C16),ISBLANK(D16)),"--","X"),IF(ISBLANK(C17),D17/3,C17*PGA!$V$3))</f>
        <v>--</v>
      </c>
      <c r="B17" t="str">
        <f t="shared" si="1"/>
        <v/>
      </c>
      <c r="C17" s="2"/>
      <c r="D17" s="2"/>
      <c r="E17" s="2"/>
      <c r="F17" s="2"/>
    </row>
    <row r="19" spans="1:12" x14ac:dyDescent="0.3">
      <c r="A19" t="s">
        <v>14</v>
      </c>
      <c r="B19">
        <f>SUM(B5:B17)</f>
        <v>4</v>
      </c>
      <c r="C19">
        <f>COUNT(C5:D17)</f>
        <v>4</v>
      </c>
      <c r="D19" t="str">
        <f>IF(C19=B19,"Oke", "Not Oke")</f>
        <v>Oke</v>
      </c>
    </row>
    <row r="24" spans="1:12" x14ac:dyDescent="0.3">
      <c r="G24" s="10"/>
    </row>
    <row r="25" spans="1:12" ht="55.2" hidden="1" x14ac:dyDescent="0.3">
      <c r="D25" t="s">
        <v>67</v>
      </c>
      <c r="E25" t="s">
        <v>66</v>
      </c>
      <c r="F25">
        <v>446</v>
      </c>
      <c r="G25" s="10">
        <v>1</v>
      </c>
      <c r="H25" s="10" t="s">
        <v>22</v>
      </c>
      <c r="I25" s="10" t="s">
        <v>23</v>
      </c>
      <c r="J25" s="10" t="s">
        <v>24</v>
      </c>
      <c r="K25" s="10" t="s">
        <v>25</v>
      </c>
      <c r="L25" s="10" t="s">
        <v>26</v>
      </c>
    </row>
    <row r="26" spans="1:12" ht="43.2" hidden="1" x14ac:dyDescent="0.3">
      <c r="D26">
        <f>E26/PGA!$V$2</f>
        <v>407.82240000163125</v>
      </c>
      <c r="E26">
        <f>F25*3</f>
        <v>1338</v>
      </c>
      <c r="F26">
        <v>116</v>
      </c>
      <c r="G26" s="10">
        <v>2</v>
      </c>
      <c r="H26" s="9" t="s">
        <v>27</v>
      </c>
      <c r="I26" s="11">
        <v>4100</v>
      </c>
      <c r="J26" s="9" t="s">
        <v>28</v>
      </c>
      <c r="K26" s="11">
        <v>2825</v>
      </c>
      <c r="L26" s="9" t="s">
        <v>29</v>
      </c>
    </row>
    <row r="27" spans="1:12" ht="43.2" hidden="1" x14ac:dyDescent="0.3">
      <c r="D27">
        <f>E27/PGA!$V$2</f>
        <v>106.07040000042427</v>
      </c>
      <c r="E27">
        <f>F26*3</f>
        <v>348</v>
      </c>
      <c r="F27">
        <v>16</v>
      </c>
      <c r="G27" s="10">
        <v>3</v>
      </c>
      <c r="H27" s="9" t="s">
        <v>28</v>
      </c>
      <c r="I27" s="11">
        <v>2825</v>
      </c>
      <c r="J27" s="9" t="s">
        <v>30</v>
      </c>
      <c r="K27" s="11">
        <v>1826</v>
      </c>
      <c r="L27" s="9" t="s">
        <v>31</v>
      </c>
    </row>
    <row r="28" spans="1:12" ht="43.2" hidden="1" x14ac:dyDescent="0.3">
      <c r="C28">
        <f>D28+D29</f>
        <v>17.983200000071932</v>
      </c>
      <c r="D28">
        <f>E28/PGA!$V$2</f>
        <v>14.63040000005852</v>
      </c>
      <c r="E28">
        <f>F27*3</f>
        <v>48</v>
      </c>
      <c r="G28" s="10" t="s">
        <v>33</v>
      </c>
      <c r="H28" s="9" t="s">
        <v>30</v>
      </c>
      <c r="I28" s="11">
        <v>1826</v>
      </c>
      <c r="J28" s="9" t="s">
        <v>6</v>
      </c>
      <c r="K28" s="9">
        <v>0</v>
      </c>
      <c r="L28" s="9" t="s">
        <v>32</v>
      </c>
    </row>
    <row r="29" spans="1:12" ht="28.8" hidden="1" x14ac:dyDescent="0.3">
      <c r="D29">
        <f>E29/PGA!$V$2</f>
        <v>3.3528000000134108</v>
      </c>
      <c r="E29">
        <v>11</v>
      </c>
      <c r="G29" s="9"/>
      <c r="H29" s="9" t="s">
        <v>27</v>
      </c>
      <c r="I29" s="11">
        <v>4100</v>
      </c>
      <c r="J29" s="9" t="s">
        <v>6</v>
      </c>
      <c r="K29" s="9" t="s">
        <v>34</v>
      </c>
      <c r="L29" s="9" t="s">
        <v>35</v>
      </c>
    </row>
    <row r="30" spans="1:12" hidden="1" x14ac:dyDescent="0.3">
      <c r="H30" s="31" t="s">
        <v>36</v>
      </c>
      <c r="I30" s="32"/>
      <c r="J30" s="32"/>
      <c r="K30" s="32"/>
      <c r="L30" s="33"/>
    </row>
    <row r="31" spans="1:12" hidden="1" x14ac:dyDescent="0.3"/>
  </sheetData>
  <mergeCells count="1">
    <mergeCell ref="H30:L30"/>
  </mergeCells>
  <dataValidations count="1">
    <dataValidation type="list" allowBlank="1" showInputMessage="1" showErrorMessage="1" promptTitle="Green" sqref="F5:F17">
      <formula1>SysPlaceOnHole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System!$B$1:$B$6</xm:f>
          </x14:formula1>
          <xm:sqref>B2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31"/>
  <sheetViews>
    <sheetView workbookViewId="0">
      <selection activeCell="E8" sqref="E8"/>
    </sheetView>
  </sheetViews>
  <sheetFormatPr defaultRowHeight="14.4" x14ac:dyDescent="0.3"/>
  <cols>
    <col min="1" max="1" width="14.33203125" customWidth="1"/>
    <col min="2" max="2" width="20.44140625" customWidth="1"/>
    <col min="3" max="3" width="9.44140625" customWidth="1"/>
    <col min="5" max="5" width="13.33203125" bestFit="1" customWidth="1"/>
    <col min="6" max="6" width="9.33203125" customWidth="1"/>
    <col min="10" max="10" width="12.6640625" bestFit="1" customWidth="1"/>
    <col min="14" max="14" width="10.109375" bestFit="1" customWidth="1"/>
  </cols>
  <sheetData>
    <row r="1" spans="1:14" x14ac:dyDescent="0.3">
      <c r="A1" t="s">
        <v>1</v>
      </c>
      <c r="B1" s="5">
        <v>43629.708333333336</v>
      </c>
    </row>
    <row r="2" spans="1:14" x14ac:dyDescent="0.3">
      <c r="A2" t="s">
        <v>5</v>
      </c>
      <c r="B2" t="s">
        <v>93</v>
      </c>
    </row>
    <row r="3" spans="1:14" x14ac:dyDescent="0.3">
      <c r="A3" t="s">
        <v>6</v>
      </c>
      <c r="B3" s="2">
        <v>10</v>
      </c>
      <c r="D3">
        <f>VLOOKUP(CONCATENATE(B3,B2),Courses!A2:F100,4,FALSE)</f>
        <v>437</v>
      </c>
      <c r="E3">
        <f>VLOOKUP(CONCATENATE(B3,B2),Courses!A2:F100,6,FALSE)</f>
        <v>4</v>
      </c>
      <c r="M3" s="18"/>
      <c r="N3" s="18"/>
    </row>
    <row r="4" spans="1:14" x14ac:dyDescent="0.3">
      <c r="A4" t="s">
        <v>69</v>
      </c>
      <c r="B4" s="6" t="s">
        <v>7</v>
      </c>
      <c r="C4" t="s">
        <v>45</v>
      </c>
      <c r="D4" t="s">
        <v>70</v>
      </c>
      <c r="E4" t="s">
        <v>59</v>
      </c>
      <c r="F4" t="s">
        <v>46</v>
      </c>
      <c r="M4" s="18"/>
      <c r="N4" s="18"/>
    </row>
    <row r="5" spans="1:14" x14ac:dyDescent="0.3">
      <c r="A5" s="15">
        <f>IF(AND(ISBLANK(C5),ISBLANK(D5)),IF(AND(ISBLANK(C4),ISBLANK(D4)),"--","X"),IF(ISBLANK(C5),D5/3,C5*PGA!$V$3))</f>
        <v>477.90901209999998</v>
      </c>
      <c r="B5">
        <f t="shared" ref="B5:B7" si="0">IF(OR(A5="--",A5="X"),"",1)</f>
        <v>1</v>
      </c>
      <c r="C5" s="2">
        <v>437</v>
      </c>
      <c r="D5" s="2"/>
      <c r="E5" s="2">
        <v>0</v>
      </c>
      <c r="F5" s="2" t="s">
        <v>68</v>
      </c>
    </row>
    <row r="6" spans="1:14" x14ac:dyDescent="0.3">
      <c r="A6" s="15">
        <f>IF(AND(ISBLANK(C6),ISBLANK(D6)),IF(AND(ISBLANK(C5),ISBLANK(D5)),"--","X"),IF(ISBLANK(C6),D6/3,C6*PGA!$V$3))</f>
        <v>155.29308859999998</v>
      </c>
      <c r="B6">
        <f>IF(OR(A6="--",A6="X"),"",1)</f>
        <v>1</v>
      </c>
      <c r="C6" s="2">
        <v>142</v>
      </c>
      <c r="D6" s="2"/>
      <c r="E6" s="2">
        <v>0</v>
      </c>
      <c r="F6" s="2" t="s">
        <v>48</v>
      </c>
    </row>
    <row r="7" spans="1:14" x14ac:dyDescent="0.3">
      <c r="A7" s="15">
        <f>IF(AND(ISBLANK(C7),ISBLANK(D7)),IF(AND(ISBLANK(C6),ISBLANK(D6)),"--","X"),IF(ISBLANK(C7),D7/3,C7*PGA!$V$3))</f>
        <v>15.857392849999998</v>
      </c>
      <c r="B7">
        <f t="shared" si="0"/>
        <v>1</v>
      </c>
      <c r="C7" s="2">
        <v>14.5</v>
      </c>
      <c r="D7" s="2"/>
      <c r="E7" s="2">
        <v>0</v>
      </c>
      <c r="F7" s="2" t="s">
        <v>47</v>
      </c>
    </row>
    <row r="8" spans="1:14" x14ac:dyDescent="0.3">
      <c r="A8" s="15">
        <f>IF(AND(ISBLANK(C8),ISBLANK(D8)),IF(AND(ISBLANK(C7),ISBLANK(D7)),"--","X"),IF(ISBLANK(C8),D8/3,C8*PGA!$V$3))</f>
        <v>1.6622922159999998</v>
      </c>
      <c r="B8">
        <f>IF(OR(A8="--",A8="X"),"",1)</f>
        <v>1</v>
      </c>
      <c r="C8" s="2">
        <v>1.52</v>
      </c>
      <c r="D8" s="2"/>
      <c r="E8" s="2">
        <v>0</v>
      </c>
      <c r="F8" s="2" t="s">
        <v>50</v>
      </c>
    </row>
    <row r="9" spans="1:14" x14ac:dyDescent="0.3">
      <c r="A9" s="15">
        <f>IF(AND(ISBLANK(C9),ISBLANK(D9)),IF(AND(ISBLANK(C8),ISBLANK(D8)),"--","X"),IF(ISBLANK(C9),D9/3,C9*PGA!$V$3))</f>
        <v>0.32808398999999994</v>
      </c>
      <c r="B9">
        <f t="shared" ref="B9:B17" si="1">IF(OR(A9="--",A9="X"),"",1)</f>
        <v>1</v>
      </c>
      <c r="C9" s="2">
        <v>0.3</v>
      </c>
      <c r="D9" s="2"/>
      <c r="E9" s="2">
        <v>0</v>
      </c>
      <c r="F9" s="2" t="s">
        <v>50</v>
      </c>
    </row>
    <row r="10" spans="1:14" ht="15" customHeight="1" x14ac:dyDescent="0.3">
      <c r="A10" s="15" t="str">
        <f>IF(AND(ISBLANK(C10),ISBLANK(D10)),IF(AND(ISBLANK(C9),ISBLANK(D9)),"--","X"),IF(ISBLANK(C10),D10/3,C10*PGA!$V$3))</f>
        <v>X</v>
      </c>
      <c r="B10" t="str">
        <f t="shared" si="1"/>
        <v/>
      </c>
      <c r="C10" s="2"/>
      <c r="D10" s="2"/>
      <c r="E10" s="2"/>
      <c r="F10" s="2"/>
      <c r="J10" s="2">
        <v>10</v>
      </c>
    </row>
    <row r="11" spans="1:14" x14ac:dyDescent="0.3">
      <c r="A11" s="15" t="str">
        <f>IF(AND(ISBLANK(C11),ISBLANK(D11)),IF(AND(ISBLANK(C10),ISBLANK(D10)),"--","X"),IF(ISBLANK(C11),D11/3,C11*PGA!$V$3))</f>
        <v>--</v>
      </c>
      <c r="B11" t="str">
        <f t="shared" si="1"/>
        <v/>
      </c>
      <c r="C11" s="2"/>
      <c r="D11" s="2"/>
      <c r="E11" s="2"/>
      <c r="F11" s="2"/>
    </row>
    <row r="12" spans="1:14" x14ac:dyDescent="0.3">
      <c r="A12" s="15" t="str">
        <f>IF(AND(ISBLANK(C12),ISBLANK(D12)),IF(AND(ISBLANK(C11),ISBLANK(D11)),"--","X"),IF(ISBLANK(C12),D12/3,C12*PGA!$V$3))</f>
        <v>--</v>
      </c>
      <c r="B12" t="str">
        <f t="shared" si="1"/>
        <v/>
      </c>
      <c r="C12" s="2"/>
      <c r="D12" s="2"/>
      <c r="E12" s="2"/>
      <c r="F12" s="2"/>
    </row>
    <row r="13" spans="1:14" x14ac:dyDescent="0.3">
      <c r="A13" s="15" t="str">
        <f>IF(AND(ISBLANK(C13),ISBLANK(D13)),IF(AND(ISBLANK(C12),ISBLANK(D12)),"--","X"),IF(ISBLANK(C13),D13/3,C13*PGA!$V$3))</f>
        <v>--</v>
      </c>
      <c r="B13" t="str">
        <f t="shared" si="1"/>
        <v/>
      </c>
      <c r="C13" s="2"/>
      <c r="D13" s="2"/>
      <c r="E13" s="2"/>
      <c r="F13" s="2"/>
    </row>
    <row r="14" spans="1:14" x14ac:dyDescent="0.3">
      <c r="A14" s="15" t="str">
        <f>IF(AND(ISBLANK(C14),ISBLANK(D14)),IF(AND(ISBLANK(C13),ISBLANK(D13)),"--","X"),IF(ISBLANK(C14),D14/3,C14*PGA!$V$3))</f>
        <v>--</v>
      </c>
      <c r="B14" t="str">
        <f t="shared" si="1"/>
        <v/>
      </c>
      <c r="C14" s="2"/>
      <c r="D14" s="2"/>
      <c r="E14" s="2"/>
      <c r="F14" s="2"/>
    </row>
    <row r="15" spans="1:14" x14ac:dyDescent="0.3">
      <c r="A15" s="15" t="str">
        <f>IF(AND(ISBLANK(C15),ISBLANK(D15)),IF(AND(ISBLANK(C14),ISBLANK(D14)),"--","X"),IF(ISBLANK(C15),D15/3,C15*PGA!$V$3))</f>
        <v>--</v>
      </c>
      <c r="B15" t="str">
        <f t="shared" si="1"/>
        <v/>
      </c>
      <c r="C15" s="2"/>
      <c r="D15" s="2"/>
      <c r="E15" s="2"/>
      <c r="F15" s="2"/>
    </row>
    <row r="16" spans="1:14" x14ac:dyDescent="0.3">
      <c r="A16" s="15" t="str">
        <f>IF(AND(ISBLANK(C16),ISBLANK(D16)),IF(AND(ISBLANK(C15),ISBLANK(D15)),"--","X"),IF(ISBLANK(C16),D16/3,C16*PGA!$V$3))</f>
        <v>--</v>
      </c>
      <c r="B16" t="str">
        <f t="shared" si="1"/>
        <v/>
      </c>
      <c r="C16" s="2"/>
      <c r="D16" s="2"/>
      <c r="E16" s="2"/>
      <c r="F16" s="2"/>
    </row>
    <row r="17" spans="1:12" x14ac:dyDescent="0.3">
      <c r="A17" s="15" t="str">
        <f>IF(AND(ISBLANK(C17),ISBLANK(D17)),IF(AND(ISBLANK(C16),ISBLANK(D16)),"--","X"),IF(ISBLANK(C17),D17/3,C17*PGA!$V$3))</f>
        <v>--</v>
      </c>
      <c r="B17" t="str">
        <f t="shared" si="1"/>
        <v/>
      </c>
      <c r="C17" s="2"/>
      <c r="D17" s="2"/>
      <c r="E17" s="2"/>
      <c r="F17" s="2"/>
    </row>
    <row r="19" spans="1:12" x14ac:dyDescent="0.3">
      <c r="A19" t="s">
        <v>14</v>
      </c>
      <c r="B19">
        <f>SUM(B5:B17)</f>
        <v>5</v>
      </c>
      <c r="C19">
        <f>COUNT(C5:D17)</f>
        <v>5</v>
      </c>
      <c r="D19" t="str">
        <f>IF(C19=B19,"Oke", "Not Oke")</f>
        <v>Oke</v>
      </c>
    </row>
    <row r="25" spans="1:12" ht="55.2" hidden="1" x14ac:dyDescent="0.3">
      <c r="D25" t="s">
        <v>67</v>
      </c>
      <c r="E25" t="s">
        <v>66</v>
      </c>
      <c r="F25" t="s">
        <v>65</v>
      </c>
      <c r="G25" s="10" t="s">
        <v>21</v>
      </c>
      <c r="H25" s="10" t="s">
        <v>22</v>
      </c>
      <c r="I25" s="10" t="s">
        <v>23</v>
      </c>
      <c r="J25" s="10" t="s">
        <v>24</v>
      </c>
      <c r="K25" s="10" t="s">
        <v>25</v>
      </c>
      <c r="L25" s="10" t="s">
        <v>26</v>
      </c>
    </row>
    <row r="26" spans="1:12" ht="43.2" hidden="1" x14ac:dyDescent="0.3">
      <c r="D26">
        <v>407.82240000163125</v>
      </c>
      <c r="E26">
        <f>F26*3</f>
        <v>1338</v>
      </c>
      <c r="F26">
        <v>446</v>
      </c>
      <c r="G26" s="10">
        <v>1</v>
      </c>
      <c r="H26" s="9" t="s">
        <v>27</v>
      </c>
      <c r="I26" s="11">
        <v>4100</v>
      </c>
      <c r="J26" s="9" t="s">
        <v>28</v>
      </c>
      <c r="K26" s="11">
        <v>2825</v>
      </c>
      <c r="L26" s="9" t="s">
        <v>29</v>
      </c>
    </row>
    <row r="27" spans="1:12" ht="43.2" hidden="1" x14ac:dyDescent="0.3">
      <c r="D27">
        <v>106.07040000042427</v>
      </c>
      <c r="E27">
        <f>F27*3</f>
        <v>348</v>
      </c>
      <c r="F27">
        <v>116</v>
      </c>
      <c r="G27" s="10">
        <v>2</v>
      </c>
      <c r="H27" s="9" t="s">
        <v>28</v>
      </c>
      <c r="I27" s="11">
        <v>2825</v>
      </c>
      <c r="J27" s="9" t="s">
        <v>30</v>
      </c>
      <c r="K27" s="11">
        <v>1826</v>
      </c>
      <c r="L27" s="9" t="s">
        <v>31</v>
      </c>
    </row>
    <row r="28" spans="1:12" ht="43.2" hidden="1" x14ac:dyDescent="0.3">
      <c r="C28">
        <f>D28+D29</f>
        <v>17.983200000071932</v>
      </c>
      <c r="D28">
        <v>14.63040000005852</v>
      </c>
      <c r="E28">
        <f>F28*3</f>
        <v>48</v>
      </c>
      <c r="F28">
        <v>16</v>
      </c>
      <c r="G28" s="10">
        <v>3</v>
      </c>
      <c r="H28" s="9" t="s">
        <v>30</v>
      </c>
      <c r="I28" s="11">
        <v>1826</v>
      </c>
      <c r="J28" s="9" t="s">
        <v>6</v>
      </c>
      <c r="K28" s="9">
        <v>0</v>
      </c>
      <c r="L28" s="9" t="s">
        <v>32</v>
      </c>
    </row>
    <row r="29" spans="1:12" ht="28.8" hidden="1" x14ac:dyDescent="0.3">
      <c r="D29">
        <v>3.3528000000134108</v>
      </c>
      <c r="E29">
        <v>11</v>
      </c>
      <c r="G29" s="10" t="s">
        <v>33</v>
      </c>
      <c r="H29" s="9" t="s">
        <v>27</v>
      </c>
      <c r="I29" s="11">
        <v>4100</v>
      </c>
      <c r="J29" s="9" t="s">
        <v>6</v>
      </c>
      <c r="K29" s="9" t="s">
        <v>34</v>
      </c>
      <c r="L29" s="9" t="s">
        <v>35</v>
      </c>
    </row>
    <row r="30" spans="1:12" hidden="1" x14ac:dyDescent="0.3">
      <c r="G30" s="9"/>
      <c r="H30" s="31" t="s">
        <v>36</v>
      </c>
      <c r="I30" s="32"/>
      <c r="J30" s="32"/>
      <c r="K30" s="32"/>
      <c r="L30" s="33"/>
    </row>
    <row r="31" spans="1:12" hidden="1" x14ac:dyDescent="0.3"/>
  </sheetData>
  <mergeCells count="1">
    <mergeCell ref="H30:L30"/>
  </mergeCells>
  <dataValidations count="2">
    <dataValidation type="whole" operator="greaterThan" allowBlank="1" showInputMessage="1" showErrorMessage="1" sqref="J10">
      <formula1>2</formula1>
    </dataValidation>
    <dataValidation type="list" allowBlank="1" showInputMessage="1" showErrorMessage="1" promptTitle="Green" sqref="F5:F17">
      <formula1>SysPlaceOnHole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System!$B$1:$B$6</xm:f>
          </x14:formula1>
          <xm:sqref>B2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F1073"/>
  <sheetViews>
    <sheetView topLeftCell="G1" workbookViewId="0">
      <pane ySplit="1" topLeftCell="A2" activePane="bottomLeft" state="frozen"/>
      <selection pane="bottomLeft" activeCell="N19" sqref="N19"/>
    </sheetView>
  </sheetViews>
  <sheetFormatPr defaultRowHeight="14.4" x14ac:dyDescent="0.3"/>
  <cols>
    <col min="1" max="1" width="26" customWidth="1"/>
    <col min="2" max="2" width="21.6640625" bestFit="1" customWidth="1"/>
    <col min="3" max="3" width="5.109375" bestFit="1" customWidth="1"/>
    <col min="4" max="4" width="14.33203125" style="13" bestFit="1" customWidth="1"/>
    <col min="5" max="5" width="10.44140625" bestFit="1" customWidth="1"/>
  </cols>
  <sheetData>
    <row r="1" spans="1:58" x14ac:dyDescent="0.3">
      <c r="A1" t="s">
        <v>1</v>
      </c>
      <c r="B1" t="s">
        <v>0</v>
      </c>
      <c r="C1" t="s">
        <v>6</v>
      </c>
      <c r="D1" s="13" t="s">
        <v>43</v>
      </c>
      <c r="E1" t="s">
        <v>4</v>
      </c>
      <c r="F1" t="s">
        <v>42</v>
      </c>
      <c r="G1" t="s">
        <v>83</v>
      </c>
      <c r="H1" t="s">
        <v>8</v>
      </c>
      <c r="I1" t="s">
        <v>44</v>
      </c>
      <c r="J1" t="s">
        <v>62</v>
      </c>
      <c r="K1" t="s">
        <v>83</v>
      </c>
      <c r="L1" t="s">
        <v>10</v>
      </c>
      <c r="M1" t="s">
        <v>37</v>
      </c>
      <c r="N1" t="s">
        <v>62</v>
      </c>
      <c r="O1" t="s">
        <v>83</v>
      </c>
      <c r="P1" t="s">
        <v>9</v>
      </c>
      <c r="Q1" t="s">
        <v>38</v>
      </c>
      <c r="R1" t="s">
        <v>62</v>
      </c>
      <c r="S1" t="s">
        <v>83</v>
      </c>
      <c r="T1" t="s">
        <v>11</v>
      </c>
      <c r="U1" t="s">
        <v>39</v>
      </c>
      <c r="V1" t="s">
        <v>62</v>
      </c>
      <c r="W1" t="s">
        <v>83</v>
      </c>
      <c r="X1" t="s">
        <v>12</v>
      </c>
      <c r="Y1" t="s">
        <v>40</v>
      </c>
      <c r="Z1" t="s">
        <v>62</v>
      </c>
      <c r="AA1" t="s">
        <v>83</v>
      </c>
      <c r="AB1" t="s">
        <v>13</v>
      </c>
      <c r="AC1" t="s">
        <v>41</v>
      </c>
      <c r="AD1" t="s">
        <v>62</v>
      </c>
      <c r="AE1" t="s">
        <v>61</v>
      </c>
      <c r="AF1" t="s">
        <v>72</v>
      </c>
      <c r="AG1" t="s">
        <v>71</v>
      </c>
      <c r="AH1" t="s">
        <v>62</v>
      </c>
      <c r="AI1" t="s">
        <v>61</v>
      </c>
      <c r="AJ1" t="s">
        <v>73</v>
      </c>
      <c r="AK1" t="s">
        <v>74</v>
      </c>
      <c r="AL1" t="s">
        <v>62</v>
      </c>
      <c r="AM1" t="s">
        <v>61</v>
      </c>
      <c r="AN1" t="s">
        <v>75</v>
      </c>
      <c r="AO1" t="s">
        <v>76</v>
      </c>
      <c r="AP1" t="s">
        <v>62</v>
      </c>
      <c r="AQ1" t="s">
        <v>61</v>
      </c>
      <c r="AR1" t="s">
        <v>77</v>
      </c>
      <c r="AS1" t="s">
        <v>78</v>
      </c>
      <c r="AT1" t="s">
        <v>62</v>
      </c>
      <c r="AU1" t="s">
        <v>61</v>
      </c>
      <c r="AV1" t="s">
        <v>79</v>
      </c>
      <c r="AW1" t="s">
        <v>80</v>
      </c>
      <c r="AX1" t="s">
        <v>62</v>
      </c>
      <c r="AY1" t="s">
        <v>61</v>
      </c>
      <c r="AZ1" t="s">
        <v>81</v>
      </c>
      <c r="BA1" t="s">
        <v>82</v>
      </c>
      <c r="BB1" t="s">
        <v>62</v>
      </c>
      <c r="BC1" t="s">
        <v>61</v>
      </c>
      <c r="BD1" t="s">
        <v>7</v>
      </c>
      <c r="BE1" t="s">
        <v>52</v>
      </c>
      <c r="BF1" t="s">
        <v>62</v>
      </c>
    </row>
    <row r="2" spans="1:58" x14ac:dyDescent="0.3">
      <c r="A2" s="3">
        <v>43629.708333333336</v>
      </c>
      <c r="B2" t="s">
        <v>93</v>
      </c>
      <c r="C2">
        <v>18</v>
      </c>
      <c r="D2" s="13">
        <v>3</v>
      </c>
      <c r="E2">
        <f t="shared" ref="E2:E33" si="0">SUM(I2,M2,Q2,U2,Y2,AC2,AG2,AK2,AO2,BA2,AW2,AS2,BE2)</f>
        <v>1.08</v>
      </c>
      <c r="G2">
        <v>407.91776089999996</v>
      </c>
      <c r="H2" t="s">
        <v>68</v>
      </c>
      <c r="I2">
        <f>VLOOKUP(G2,PGA!$P$2:$Q$470,2,TRUE)-(VLOOKUP(K2,PGA!$D$2:$E$5557,2,TRUE))-1</f>
        <v>0.22999999999999998</v>
      </c>
      <c r="J2">
        <v>0</v>
      </c>
      <c r="K2">
        <v>123.57830289999998</v>
      </c>
      <c r="L2" t="s">
        <v>48</v>
      </c>
      <c r="M2">
        <f>VLOOKUP(K2,PGA!$D$2:$E$555,2,TRUE)-(VLOOKUP(O2,PGA!$A$2:$B$92,2,TRUE))-1</f>
        <v>0.51</v>
      </c>
      <c r="N2">
        <v>2</v>
      </c>
      <c r="O2">
        <v>2</v>
      </c>
      <c r="P2" t="s">
        <v>50</v>
      </c>
      <c r="Q2">
        <f>VLOOKUP(O2,PGA!$A$2:$B$92,2,TRUE)-1</f>
        <v>0.34000000000000008</v>
      </c>
      <c r="R2">
        <v>0</v>
      </c>
    </row>
    <row r="3" spans="1:58" x14ac:dyDescent="0.3">
      <c r="A3" s="3">
        <v>43629.708333333336</v>
      </c>
      <c r="B3" t="s">
        <v>93</v>
      </c>
      <c r="C3">
        <v>17</v>
      </c>
      <c r="D3" s="13">
        <v>5</v>
      </c>
      <c r="E3">
        <f t="shared" si="0"/>
        <v>-0.17999999999999972</v>
      </c>
      <c r="G3">
        <v>550.08748989999992</v>
      </c>
      <c r="H3" t="s">
        <v>68</v>
      </c>
      <c r="I3">
        <f>VLOOKUP(G3,PGA!$P$2:$Q$470,2,TRUE)-(VLOOKUP(K3,PGA!$G$2:$H$555,2,TRUE))-1</f>
        <v>8.0000000000000071E-2</v>
      </c>
      <c r="J3">
        <v>6</v>
      </c>
      <c r="K3">
        <v>251.53105899999997</v>
      </c>
      <c r="L3" t="s">
        <v>47</v>
      </c>
      <c r="M3">
        <f>VLOOKUP(K3,PGA!$G$2:$H$555,2,TRUE)-(VLOOKUP(O3,PGA!$G$2:$H$555,2,TRUE))-1</f>
        <v>-0.21999999999999975</v>
      </c>
      <c r="N3">
        <v>0</v>
      </c>
      <c r="O3">
        <v>89.676290599999987</v>
      </c>
      <c r="P3" t="s">
        <v>47</v>
      </c>
      <c r="Q3">
        <f>VLOOKUP(O3,PGA!$G$2:$H$555,2,TRUE)-(VLOOKUP(S3,PGA!$A$2:$B$92,2,TRUE))-1</f>
        <v>6.6000000000000059E-2</v>
      </c>
      <c r="R3">
        <v>7</v>
      </c>
      <c r="S3">
        <v>7.6552930999999997</v>
      </c>
      <c r="T3" t="s">
        <v>50</v>
      </c>
      <c r="U3">
        <f>VLOOKUP(S3,PGA!$A$2:$B$92,2,TRUE)-(VLOOKUP(W3,PGA!$A$2:$B$92,2,TRUE))-1</f>
        <v>-0.1160000000000001</v>
      </c>
      <c r="V3">
        <v>0</v>
      </c>
      <c r="W3">
        <v>0.33333333333333331</v>
      </c>
      <c r="X3" t="s">
        <v>50</v>
      </c>
      <c r="Y3">
        <f>VLOOKUP(W3,PGA!$A$2:$B$92,2,TRUE)-1</f>
        <v>1.0000000000000009E-2</v>
      </c>
      <c r="Z3">
        <v>0</v>
      </c>
    </row>
    <row r="4" spans="1:58" x14ac:dyDescent="0.3">
      <c r="A4" s="3">
        <v>43629.708333333336</v>
      </c>
      <c r="B4" t="s">
        <v>93</v>
      </c>
      <c r="C4">
        <v>16</v>
      </c>
      <c r="D4" s="13">
        <v>3</v>
      </c>
      <c r="E4">
        <f t="shared" si="0"/>
        <v>0.12000000000000011</v>
      </c>
      <c r="G4">
        <v>185.91426099999998</v>
      </c>
      <c r="H4" t="s">
        <v>68</v>
      </c>
      <c r="I4">
        <f>VLOOKUP(G4,PGA!$P$2:$Q$470,2,TRUE)-(VLOOKUP(K4,PGA!$A$2:$B$92,2,TRUE))-1</f>
        <v>0.26800000000000002</v>
      </c>
      <c r="J4">
        <v>6</v>
      </c>
      <c r="K4">
        <v>6.5616797999999994</v>
      </c>
      <c r="L4" t="s">
        <v>50</v>
      </c>
      <c r="M4">
        <f>VLOOKUP(K4,PGA!$A$2:$B$92,2,TRUE)-(VLOOKUP(O4,PGA!$A$2:$B$92,2,TRUE))-1</f>
        <v>-0.15799999999999992</v>
      </c>
      <c r="N4">
        <v>0</v>
      </c>
      <c r="O4">
        <v>0.33333333333333331</v>
      </c>
      <c r="P4" t="s">
        <v>50</v>
      </c>
      <c r="Q4">
        <f>VLOOKUP(O4,PGA!$A$2:$B$92,2,TRUE)-1</f>
        <v>1.0000000000000009E-2</v>
      </c>
      <c r="R4">
        <v>0</v>
      </c>
    </row>
    <row r="5" spans="1:58" x14ac:dyDescent="0.3">
      <c r="A5" s="3">
        <v>43629.708333333336</v>
      </c>
      <c r="B5" t="s">
        <v>93</v>
      </c>
      <c r="C5">
        <v>15</v>
      </c>
      <c r="D5" s="13">
        <v>5</v>
      </c>
      <c r="E5">
        <f t="shared" si="0"/>
        <v>-0.30499999999999972</v>
      </c>
      <c r="G5">
        <v>507.43657119999995</v>
      </c>
      <c r="H5" t="s">
        <v>68</v>
      </c>
      <c r="I5">
        <f>VLOOKUP(G5,PGA!$P$2:$Q$470,2,TRUE)-(VLOOKUP(K5,PGA!$D$2:$E$5557,2,TRUE))-1</f>
        <v>0.50500000000000034</v>
      </c>
      <c r="J5">
        <v>0</v>
      </c>
      <c r="K5">
        <v>199.03762059999997</v>
      </c>
      <c r="L5" t="s">
        <v>48</v>
      </c>
      <c r="M5">
        <f>VLOOKUP(K5,PGA!$D$2:$E$555,2,TRUE)-(VLOOKUP(O5,PGA!$J$2:$K$555,2,TRUE))-1</f>
        <v>-0.29000000000000004</v>
      </c>
      <c r="N5">
        <v>14</v>
      </c>
      <c r="O5">
        <v>15.310586199999999</v>
      </c>
      <c r="P5" t="s">
        <v>49</v>
      </c>
      <c r="Q5">
        <f>VLOOKUP(O5,PGA!$J$2:$DH$555,2,TRUE)-(VLOOKUP(S5,PGA!$A$2:$B$92,2,TRUE))-1</f>
        <v>-0.37200000000000011</v>
      </c>
      <c r="R5">
        <v>0</v>
      </c>
      <c r="S5">
        <v>6.5616797999999994</v>
      </c>
      <c r="T5" t="s">
        <v>50</v>
      </c>
      <c r="U5">
        <f>VLOOKUP(S5,PGA!$A$2:$B$92,2,TRUE)-(VLOOKUP(W5,PGA!$A$2:$B$92,2,TRUE))-1</f>
        <v>-0.15799999999999992</v>
      </c>
      <c r="V5">
        <v>0</v>
      </c>
      <c r="W5">
        <v>0.66666666666666663</v>
      </c>
      <c r="X5" t="s">
        <v>50</v>
      </c>
      <c r="Y5">
        <f>VLOOKUP(W5,PGA!$A$2:$B$92,2,TRUE)-1</f>
        <v>1.0000000000000009E-2</v>
      </c>
      <c r="Z5">
        <v>0</v>
      </c>
    </row>
    <row r="6" spans="1:58" x14ac:dyDescent="0.3">
      <c r="A6" s="3">
        <v>43629.708333333336</v>
      </c>
      <c r="B6" t="s">
        <v>93</v>
      </c>
      <c r="C6">
        <v>14</v>
      </c>
      <c r="D6" s="13">
        <v>4</v>
      </c>
      <c r="E6">
        <f t="shared" si="0"/>
        <v>1.9999999999999574E-2</v>
      </c>
      <c r="G6">
        <v>387.13910819999995</v>
      </c>
      <c r="H6" t="s">
        <v>68</v>
      </c>
      <c r="I6">
        <f>VLOOKUP(G6,PGA!$P$2:$Q$470,2,TRUE)-(VLOOKUP(K6,PGA!$D$2:$E$5557,2,TRUE))-1</f>
        <v>0.10999999999999943</v>
      </c>
      <c r="J6">
        <v>0</v>
      </c>
      <c r="K6">
        <v>134.5144359</v>
      </c>
      <c r="L6" t="s">
        <v>48</v>
      </c>
      <c r="M6">
        <f>VLOOKUP(K6,PGA!$D$2:$E$555,2,TRUE)-(VLOOKUP(O6,PGA!$A$2:$B$92,2,TRUE))-1</f>
        <v>1.6000000000000236E-2</v>
      </c>
      <c r="N6">
        <v>0</v>
      </c>
      <c r="O6">
        <v>7.6552930999999997</v>
      </c>
      <c r="P6" t="s">
        <v>50</v>
      </c>
      <c r="Q6">
        <f>VLOOKUP(O6,PGA!$A$2:$B$92,2,TRUE)-(VLOOKUP(S6,PGA!$A$2:$B$92,2,TRUE))-1</f>
        <v>-0.1160000000000001</v>
      </c>
      <c r="R6">
        <v>0</v>
      </c>
      <c r="S6">
        <v>0.66666666666666663</v>
      </c>
      <c r="T6" t="s">
        <v>50</v>
      </c>
      <c r="U6">
        <f>VLOOKUP(S6,PGA!$A$2:$B$92,2,TRUE)-1</f>
        <v>1.0000000000000009E-2</v>
      </c>
      <c r="V6">
        <v>0</v>
      </c>
    </row>
    <row r="7" spans="1:58" x14ac:dyDescent="0.3">
      <c r="A7" s="3">
        <v>43629.708333333336</v>
      </c>
      <c r="B7" t="s">
        <v>93</v>
      </c>
      <c r="C7">
        <v>13</v>
      </c>
      <c r="D7" s="13">
        <v>6</v>
      </c>
      <c r="E7">
        <f t="shared" si="0"/>
        <v>-1.9169999999999998</v>
      </c>
      <c r="G7">
        <v>399.16885449999995</v>
      </c>
      <c r="H7" t="s">
        <v>68</v>
      </c>
      <c r="I7">
        <f>VLOOKUP(G7,PGA!$P$2:$Q$470,2,TRUE)-(VLOOKUP(K7,PGA!$D$2:$E$5557,2,TRUE))-1</f>
        <v>-0.10699999999999976</v>
      </c>
      <c r="J7">
        <v>0</v>
      </c>
      <c r="K7">
        <v>188.10148759999998</v>
      </c>
      <c r="L7" t="s">
        <v>48</v>
      </c>
      <c r="M7">
        <f>VLOOKUP(K7,PGA!$D$2:$E$555,2,TRUE)-(VLOOKUP(O7,PGA!$J$2:$K$555,2,TRUE))-1</f>
        <v>-0.33999999999999986</v>
      </c>
      <c r="N7">
        <v>20</v>
      </c>
      <c r="O7">
        <v>21.872265999999996</v>
      </c>
      <c r="P7" t="s">
        <v>49</v>
      </c>
      <c r="Q7">
        <f>VLOOKUP(O7,PGA!$J$2:$DH$555,2,TRUE)-(VLOOKUP(S7,PGA!$A$2:$B$92,2,TRUE))-1</f>
        <v>0.39999999999999991</v>
      </c>
      <c r="R7">
        <v>0</v>
      </c>
      <c r="S7">
        <v>1.3333333333333333</v>
      </c>
      <c r="T7" t="s">
        <v>50</v>
      </c>
      <c r="U7">
        <f>VLOOKUP(S7,PGA!$A$2:$B$92,2,TRUE)-(VLOOKUP(W7,PGA!$A$2:$B$92,2,TRUE))-1</f>
        <v>-0.88000000000000012</v>
      </c>
      <c r="V7">
        <v>0</v>
      </c>
      <c r="W7">
        <v>0.66666666666666663</v>
      </c>
      <c r="X7" t="s">
        <v>50</v>
      </c>
      <c r="Y7">
        <f>VLOOKUP(W7,PGA!$A$2:$B$92,2,TRUE)-(VLOOKUP(AA7,PGA!$A$2:$B$92,2,TRUE))-1</f>
        <v>-1</v>
      </c>
      <c r="Z7">
        <v>0</v>
      </c>
      <c r="AA7">
        <v>0.33333333333333331</v>
      </c>
      <c r="AB7" t="s">
        <v>50</v>
      </c>
      <c r="AC7">
        <f>VLOOKUP(AA7,PGA!$A$2:$B$92,2,TRUE)-1</f>
        <v>1.0000000000000009E-2</v>
      </c>
      <c r="AD7">
        <v>0</v>
      </c>
    </row>
    <row r="8" spans="1:58" x14ac:dyDescent="0.3">
      <c r="A8" s="3">
        <v>43629.708333333336</v>
      </c>
      <c r="B8" t="s">
        <v>93</v>
      </c>
      <c r="C8">
        <v>12</v>
      </c>
      <c r="D8" s="13">
        <v>4</v>
      </c>
      <c r="E8">
        <f t="shared" si="0"/>
        <v>0.16999999999999993</v>
      </c>
      <c r="G8">
        <v>426.50918699999994</v>
      </c>
      <c r="H8" t="s">
        <v>68</v>
      </c>
      <c r="I8">
        <f>VLOOKUP(G8,PGA!$P$2:$Q$470,2,TRUE)-(VLOOKUP(K8,PGA!$D$2:$E$5557,2,TRUE))-1</f>
        <v>0.18999999999999995</v>
      </c>
      <c r="J8">
        <v>0</v>
      </c>
      <c r="K8">
        <v>153.10586199999997</v>
      </c>
      <c r="L8" t="s">
        <v>48</v>
      </c>
      <c r="M8">
        <f>VLOOKUP(K8,PGA!$D$2:$E$555,2,TRUE)-(VLOOKUP(O8,PGA!$A$2:$B$92,2,TRUE))-1</f>
        <v>-7.2000000000000064E-2</v>
      </c>
      <c r="N8">
        <v>12</v>
      </c>
      <c r="O8">
        <v>13.123359599999999</v>
      </c>
      <c r="P8" t="s">
        <v>50</v>
      </c>
      <c r="Q8">
        <f>VLOOKUP(O8,PGA!$A$2:$B$92,2,TRUE)-(VLOOKUP(S8,PGA!$A$2:$B$92,2,TRUE))-1</f>
        <v>-7.7999999999999847E-2</v>
      </c>
      <c r="R8">
        <v>0</v>
      </c>
      <c r="S8">
        <v>1.3333333333333333</v>
      </c>
      <c r="T8" t="s">
        <v>50</v>
      </c>
      <c r="U8">
        <f>VLOOKUP(S8,PGA!$A$2:$B$92,2,TRUE)-1</f>
        <v>0.12999999999999989</v>
      </c>
      <c r="V8">
        <v>0</v>
      </c>
    </row>
    <row r="9" spans="1:58" x14ac:dyDescent="0.3">
      <c r="A9" s="3">
        <v>43629.708333333336</v>
      </c>
      <c r="B9" t="s">
        <v>93</v>
      </c>
      <c r="C9">
        <v>11</v>
      </c>
      <c r="D9" s="13">
        <v>3</v>
      </c>
      <c r="E9">
        <f t="shared" si="0"/>
        <v>0.12000000000000011</v>
      </c>
      <c r="G9">
        <v>189.19510089999997</v>
      </c>
      <c r="H9" t="s">
        <v>68</v>
      </c>
      <c r="I9">
        <f>VLOOKUP(G9,PGA!$P$2:$Q$470,2,TRUE)-(VLOOKUP(K9,PGA!$A$2:$B$92,2,TRUE))-1</f>
        <v>9.2000000000000082E-2</v>
      </c>
      <c r="J9">
        <v>11</v>
      </c>
      <c r="K9">
        <v>12.029746299999999</v>
      </c>
      <c r="L9" t="s">
        <v>50</v>
      </c>
      <c r="M9">
        <f>VLOOKUP(K9,PGA!$A$2:$B$92,2,TRUE)-(VLOOKUP(O9,PGA!$A$2:$B$92,2,TRUE))-1</f>
        <v>-0.10199999999999987</v>
      </c>
      <c r="N9">
        <v>0</v>
      </c>
      <c r="O9">
        <v>1.3333333333333333</v>
      </c>
      <c r="P9" t="s">
        <v>50</v>
      </c>
      <c r="Q9">
        <f>VLOOKUP(O9,PGA!$A$2:$B$92,2,TRUE)-1</f>
        <v>0.12999999999999989</v>
      </c>
      <c r="R9">
        <v>0</v>
      </c>
    </row>
    <row r="10" spans="1:58" x14ac:dyDescent="0.3">
      <c r="A10" s="3">
        <v>43629.708333333336</v>
      </c>
      <c r="B10" t="s">
        <v>93</v>
      </c>
      <c r="C10">
        <v>10</v>
      </c>
      <c r="D10" s="13">
        <v>5</v>
      </c>
      <c r="E10">
        <f t="shared" si="0"/>
        <v>-0.52500000000000036</v>
      </c>
      <c r="G10">
        <v>477.90901209999998</v>
      </c>
      <c r="H10" t="s">
        <v>68</v>
      </c>
      <c r="I10">
        <f>VLOOKUP(G10,PGA!$P$2:$Q$470,2,TRUE)-(VLOOKUP(K10,PGA!$D$2:$E$5557,2,TRUE))-1</f>
        <v>0.49499999999999966</v>
      </c>
      <c r="J10">
        <v>0</v>
      </c>
      <c r="K10">
        <v>155.29308859999998</v>
      </c>
      <c r="L10" t="s">
        <v>48</v>
      </c>
      <c r="M10">
        <f>VLOOKUP(K10,PGA!$D$2:$E$555,2,TRUE)-(VLOOKUP(O10,PGA!$G$2:$H$555,2,TRUE))-1</f>
        <v>-0.49000000000000021</v>
      </c>
      <c r="N10">
        <v>0</v>
      </c>
      <c r="O10">
        <v>15.857392849999998</v>
      </c>
      <c r="P10" t="s">
        <v>47</v>
      </c>
      <c r="Q10">
        <f>VLOOKUP(O10,PGA!$G$2:$H$555,2,TRUE)-(VLOOKUP(S10,PGA!$A$2:$B$92,2,TRUE))-1</f>
        <v>0.3400000000000003</v>
      </c>
      <c r="R10">
        <v>0</v>
      </c>
      <c r="S10">
        <v>1.6666666666666667</v>
      </c>
      <c r="T10" t="s">
        <v>50</v>
      </c>
      <c r="U10">
        <f>VLOOKUP(S10,PGA!$A$2:$B$92,2,TRUE)-(VLOOKUP(W10,PGA!$A$2:$B$92,2,TRUE))-1</f>
        <v>-0.88000000000000012</v>
      </c>
      <c r="V10">
        <v>0</v>
      </c>
      <c r="W10">
        <v>0.33333333333333331</v>
      </c>
      <c r="X10" t="s">
        <v>50</v>
      </c>
      <c r="Y10">
        <f>VLOOKUP(W10,PGA!$A$2:$B$92,2,TRUE)-1</f>
        <v>1.0000000000000009E-2</v>
      </c>
      <c r="Z10">
        <v>0</v>
      </c>
    </row>
    <row r="11" spans="1:58" x14ac:dyDescent="0.3">
      <c r="A11" s="3">
        <v>43629.708333333336</v>
      </c>
      <c r="B11" t="s">
        <v>93</v>
      </c>
      <c r="C11">
        <v>9</v>
      </c>
      <c r="D11" s="13">
        <v>5</v>
      </c>
      <c r="E11">
        <f t="shared" si="0"/>
        <v>-0.20999999999999996</v>
      </c>
      <c r="G11">
        <v>530.40245049999999</v>
      </c>
      <c r="H11" t="s">
        <v>68</v>
      </c>
      <c r="I11">
        <f>VLOOKUP(G11,PGA!$P$2:$Q$470,2,TRUE)-(VLOOKUP(K11,PGA!$G$2:$H$555,2,TRUE))-1</f>
        <v>-4.0000000000000036E-2</v>
      </c>
      <c r="J11">
        <v>9</v>
      </c>
      <c r="K11">
        <v>266.84164519999996</v>
      </c>
      <c r="L11" t="s">
        <v>47</v>
      </c>
      <c r="M11">
        <f>VLOOKUP(K11,PGA!$G$2:$H$555,2,TRUE)-(VLOOKUP(O11,PGA!$G$2:$H$555,2,TRUE))-1</f>
        <v>-0.31999999999999984</v>
      </c>
      <c r="N11">
        <v>0</v>
      </c>
      <c r="O11">
        <v>133.42082259999998</v>
      </c>
      <c r="P11" t="s">
        <v>47</v>
      </c>
      <c r="Q11">
        <f>VLOOKUP(O11,PGA!$G$2:$H$555,2,TRUE)-(VLOOKUP(S11,PGA!$D$2:$E$5557,2,TRUE))-1</f>
        <v>-0.25</v>
      </c>
      <c r="R11">
        <v>0</v>
      </c>
      <c r="S11">
        <v>26.246719199999998</v>
      </c>
      <c r="T11" t="s">
        <v>48</v>
      </c>
      <c r="U11">
        <f>VLOOKUP(S11,PGA!$D$2:$E$555,2,TRUE)-(VLOOKUP(W11,PGA!$A$2:$B$92,2,TRUE))-1</f>
        <v>0.35999999999999988</v>
      </c>
      <c r="V11">
        <v>0</v>
      </c>
      <c r="W11">
        <v>1</v>
      </c>
      <c r="X11" t="s">
        <v>50</v>
      </c>
      <c r="Y11">
        <f>VLOOKUP(W11,PGA!$A$2:$B$92,2,TRUE)-1</f>
        <v>4.0000000000000036E-2</v>
      </c>
      <c r="Z11">
        <v>0</v>
      </c>
    </row>
    <row r="12" spans="1:58" x14ac:dyDescent="0.3">
      <c r="A12" s="3">
        <v>43629.708333333336</v>
      </c>
      <c r="B12" t="s">
        <v>93</v>
      </c>
      <c r="C12">
        <v>8</v>
      </c>
      <c r="D12" s="13">
        <v>3</v>
      </c>
      <c r="E12">
        <f t="shared" si="0"/>
        <v>-9.9999999999997868E-3</v>
      </c>
      <c r="G12">
        <v>152.01224869999999</v>
      </c>
      <c r="H12" t="s">
        <v>68</v>
      </c>
      <c r="I12">
        <f>VLOOKUP(G12,PGA!$P$2:$Q$470,2,TRUE)-(VLOOKUP(K12,PGA!$A$2:$B$92,2,TRUE))-1</f>
        <v>2.000000000000024E-2</v>
      </c>
      <c r="J12">
        <v>9</v>
      </c>
      <c r="K12">
        <v>9.8425196999999987</v>
      </c>
      <c r="L12" t="s">
        <v>50</v>
      </c>
      <c r="M12">
        <f>VLOOKUP(K12,PGA!$A$2:$B$92,2,TRUE)-(VLOOKUP(O12,PGA!$A$2:$B$92,2,TRUE))-1</f>
        <v>-7.0000000000000062E-2</v>
      </c>
      <c r="N12">
        <v>0</v>
      </c>
      <c r="O12">
        <v>1</v>
      </c>
      <c r="P12" t="s">
        <v>50</v>
      </c>
      <c r="Q12">
        <f>VLOOKUP(O12,PGA!$A$2:$B$92,2,TRUE)-1</f>
        <v>4.0000000000000036E-2</v>
      </c>
      <c r="R12">
        <v>0</v>
      </c>
    </row>
    <row r="13" spans="1:58" x14ac:dyDescent="0.3">
      <c r="A13" s="3">
        <v>43629.708333333336</v>
      </c>
      <c r="B13" t="s">
        <v>93</v>
      </c>
      <c r="C13">
        <v>7</v>
      </c>
      <c r="D13" s="13">
        <v>4</v>
      </c>
      <c r="E13">
        <f t="shared" si="0"/>
        <v>0.41000000000000014</v>
      </c>
      <c r="G13">
        <v>460.41119929999996</v>
      </c>
      <c r="H13" t="s">
        <v>68</v>
      </c>
      <c r="I13">
        <f>VLOOKUP(G13,PGA!$P$2:$Q$470,2,TRUE)-(VLOOKUP(K13,PGA!$D$2:$E$5557,2,TRUE))-1</f>
        <v>0.33000000000000007</v>
      </c>
      <c r="J13">
        <v>0</v>
      </c>
      <c r="K13">
        <v>168.41644819999999</v>
      </c>
      <c r="L13" t="s">
        <v>48</v>
      </c>
      <c r="M13">
        <f>VLOOKUP(K13,PGA!$D$2:$E$555,2,TRUE)-(VLOOKUP(O13,PGA!$A$2:$B$92,2,TRUE))-1</f>
        <v>0.74</v>
      </c>
      <c r="N13">
        <v>2</v>
      </c>
      <c r="O13">
        <v>2.1872265999999998</v>
      </c>
      <c r="P13" t="s">
        <v>50</v>
      </c>
      <c r="Q13">
        <f>VLOOKUP(O13,PGA!$A$2:$B$92,2,TRUE)-(VLOOKUP(S13,PGA!$A$2:$B$92,2,TRUE))-1</f>
        <v>-0.66999999999999993</v>
      </c>
      <c r="R13">
        <v>0</v>
      </c>
      <c r="S13">
        <v>0.33333333333333331</v>
      </c>
      <c r="T13" t="s">
        <v>50</v>
      </c>
      <c r="U13">
        <f>VLOOKUP(S13,PGA!$A$2:$B$92,2,TRUE)-1</f>
        <v>1.0000000000000009E-2</v>
      </c>
      <c r="V13">
        <v>0</v>
      </c>
    </row>
    <row r="14" spans="1:58" x14ac:dyDescent="0.3">
      <c r="A14" s="3">
        <v>43629.708333333336</v>
      </c>
      <c r="B14" t="s">
        <v>93</v>
      </c>
      <c r="C14">
        <v>6</v>
      </c>
      <c r="D14" s="13">
        <v>4</v>
      </c>
      <c r="E14">
        <f t="shared" si="0"/>
        <v>4.9999999999998934E-3</v>
      </c>
      <c r="G14">
        <v>377.29658849999998</v>
      </c>
      <c r="H14" t="s">
        <v>68</v>
      </c>
      <c r="I14">
        <f>VLOOKUP(G14,PGA!$P$2:$Q$470,2,TRUE)-(VLOOKUP(K14,PGA!$D$2:$E$5557,2,TRUE))-1</f>
        <v>2.4999999999999911E-2</v>
      </c>
      <c r="J14">
        <v>0</v>
      </c>
      <c r="K14">
        <v>152.01224869999999</v>
      </c>
      <c r="L14" t="s">
        <v>48</v>
      </c>
      <c r="M14">
        <f>VLOOKUP(K14,PGA!$D$2:$E$555,2,TRUE)-(VLOOKUP(O14,PGA!$A$2:$B$92,2,TRUE))-1</f>
        <v>8.6000000000000076E-2</v>
      </c>
      <c r="N14">
        <v>7</v>
      </c>
      <c r="O14">
        <v>7.6552930999999997</v>
      </c>
      <c r="P14" t="s">
        <v>50</v>
      </c>
      <c r="Q14">
        <f>VLOOKUP(O14,PGA!$A$2:$B$92,2,TRUE)-(VLOOKUP(S14,PGA!$A$2:$B$92,2,TRUE))-1</f>
        <v>-0.23599999999999999</v>
      </c>
      <c r="R14">
        <v>0</v>
      </c>
      <c r="S14">
        <v>1.3333333333333333</v>
      </c>
      <c r="T14" t="s">
        <v>50</v>
      </c>
      <c r="U14">
        <f>VLOOKUP(S14,PGA!$A$2:$B$92,2,TRUE)-1</f>
        <v>0.12999999999999989</v>
      </c>
      <c r="V14">
        <v>0</v>
      </c>
    </row>
    <row r="15" spans="1:58" x14ac:dyDescent="0.3">
      <c r="A15" s="3">
        <v>43629.708333333336</v>
      </c>
      <c r="B15" t="s">
        <v>93</v>
      </c>
      <c r="C15">
        <v>5</v>
      </c>
      <c r="D15" s="13">
        <v>4</v>
      </c>
      <c r="E15">
        <f t="shared" si="0"/>
        <v>-8.0000000000000071E-2</v>
      </c>
      <c r="G15">
        <v>334.64566979999995</v>
      </c>
      <c r="H15" t="s">
        <v>68</v>
      </c>
      <c r="I15">
        <f>VLOOKUP(G15,PGA!$P$2:$Q$470,2,TRUE)-(VLOOKUP(K15,PGA!$D$2:$E$5557,2,TRUE))-1</f>
        <v>9.9999999999997868E-3</v>
      </c>
      <c r="J15">
        <v>0</v>
      </c>
      <c r="K15">
        <v>134.5144359</v>
      </c>
      <c r="L15" t="s">
        <v>48</v>
      </c>
      <c r="M15">
        <f>VLOOKUP(K15,PGA!$D$2:$E$555,2,TRUE)-(VLOOKUP(O15,PGA!$A$2:$B$92,2,TRUE))-1</f>
        <v>0.19800000000000018</v>
      </c>
      <c r="N15">
        <v>0</v>
      </c>
      <c r="O15">
        <v>4.3744531999999996</v>
      </c>
      <c r="P15" t="s">
        <v>50</v>
      </c>
      <c r="Q15">
        <f>VLOOKUP(O15,PGA!$A$2:$B$92,2,TRUE)-(VLOOKUP(S15,PGA!$A$2:$B$92,2,TRUE))-1</f>
        <v>-0.29800000000000004</v>
      </c>
      <c r="R15">
        <v>4</v>
      </c>
      <c r="S15">
        <v>0.33333333333333331</v>
      </c>
      <c r="T15" t="s">
        <v>50</v>
      </c>
      <c r="U15">
        <f>VLOOKUP(S15,PGA!$A$2:$B$92,2,TRUE)-1</f>
        <v>1.0000000000000009E-2</v>
      </c>
      <c r="V15">
        <v>0</v>
      </c>
    </row>
    <row r="16" spans="1:58" x14ac:dyDescent="0.3">
      <c r="A16" s="3">
        <v>43629.708333333336</v>
      </c>
      <c r="B16" t="s">
        <v>93</v>
      </c>
      <c r="C16">
        <v>4</v>
      </c>
      <c r="D16" s="13">
        <v>5</v>
      </c>
      <c r="E16">
        <f t="shared" si="0"/>
        <v>-0.17999999999999972</v>
      </c>
      <c r="G16">
        <v>577.42782239999997</v>
      </c>
      <c r="H16" t="s">
        <v>68</v>
      </c>
      <c r="I16">
        <f>VLOOKUP(G16,PGA!$P$2:$Q$470,2,TRUE)-(VLOOKUP(K16,PGA!$D$2:$E$5557,2,TRUE))-1</f>
        <v>4.000000000000048E-2</v>
      </c>
      <c r="J16">
        <v>0</v>
      </c>
      <c r="K16">
        <v>284.33945799999998</v>
      </c>
      <c r="L16" t="s">
        <v>48</v>
      </c>
      <c r="M16">
        <f>VLOOKUP(K16,PGA!$D$2:$E$555,2,TRUE)-(VLOOKUP(O16,PGA!$G$2:$H$555,2,TRUE))-1</f>
        <v>0</v>
      </c>
      <c r="N16">
        <v>0</v>
      </c>
      <c r="O16">
        <v>41.557305399999997</v>
      </c>
      <c r="P16" t="s">
        <v>47</v>
      </c>
      <c r="Q16">
        <f>VLOOKUP(O16,PGA!$G$2:$H$555,2,TRUE)-(VLOOKUP(S16,PGA!$A$2:$B$92,2,TRUE))-1</f>
        <v>3.3999999999999808E-2</v>
      </c>
      <c r="R16">
        <v>0</v>
      </c>
      <c r="S16">
        <v>4.9212598499999993</v>
      </c>
      <c r="T16" t="s">
        <v>50</v>
      </c>
      <c r="U16">
        <f>VLOOKUP(S16,PGA!$A$2:$B$92,2,TRUE)-(VLOOKUP(W16,PGA!$A$2:$B$92,2,TRUE))-1</f>
        <v>-0.26400000000000001</v>
      </c>
      <c r="V16">
        <v>0</v>
      </c>
      <c r="W16">
        <v>0.33333333333333331</v>
      </c>
      <c r="X16" t="s">
        <v>50</v>
      </c>
      <c r="Y16">
        <f>VLOOKUP(W16,PGA!$A$2:$B$92,2,TRUE)-1</f>
        <v>1.0000000000000009E-2</v>
      </c>
      <c r="Z16">
        <v>0</v>
      </c>
    </row>
    <row r="17" spans="1:26" x14ac:dyDescent="0.3">
      <c r="A17" s="3">
        <v>43629.708333333336</v>
      </c>
      <c r="B17" t="s">
        <v>93</v>
      </c>
      <c r="C17">
        <v>3</v>
      </c>
      <c r="D17" s="13">
        <v>3</v>
      </c>
      <c r="E17">
        <f t="shared" si="0"/>
        <v>0.20999999999999996</v>
      </c>
      <c r="G17">
        <v>226.37795309999998</v>
      </c>
      <c r="H17" t="s">
        <v>68</v>
      </c>
      <c r="I17">
        <f>VLOOKUP(G17,PGA!$P$2:$Q$470,2,TRUE)-(VLOOKUP(K17,PGA!$A$2:$B$92,2,TRUE))-1</f>
        <v>0.10199999999999987</v>
      </c>
      <c r="J17">
        <v>14</v>
      </c>
      <c r="K17">
        <v>15.310586199999999</v>
      </c>
      <c r="L17" t="s">
        <v>50</v>
      </c>
      <c r="M17">
        <f>VLOOKUP(K17,PGA!$A$2:$B$92,2,TRUE)-(VLOOKUP(O17,PGA!$A$2:$B$92,2,TRUE))-1</f>
        <v>-2.1999999999999797E-2</v>
      </c>
      <c r="O17">
        <v>1.3342082259999999</v>
      </c>
      <c r="P17" t="s">
        <v>50</v>
      </c>
      <c r="Q17">
        <f>VLOOKUP(O17,PGA!$A$2:$B$92,2,TRUE)-1</f>
        <v>0.12999999999999989</v>
      </c>
      <c r="R17">
        <v>0</v>
      </c>
    </row>
    <row r="18" spans="1:26" x14ac:dyDescent="0.3">
      <c r="A18" s="3">
        <v>43629.708333333336</v>
      </c>
      <c r="B18" t="s">
        <v>93</v>
      </c>
      <c r="C18">
        <v>2</v>
      </c>
      <c r="D18" s="13">
        <v>5</v>
      </c>
      <c r="E18">
        <f t="shared" si="0"/>
        <v>-1.1890000000000001</v>
      </c>
      <c r="G18">
        <v>300.74365749999998</v>
      </c>
      <c r="H18" t="s">
        <v>68</v>
      </c>
      <c r="I18">
        <f>VLOOKUP(G18,PGA!$P$2:$Q$470,2,TRUE)-(VLOOKUP(K18,PGA!$G$2:$H$555,2,TRUE))-1</f>
        <v>0.22100000000000009</v>
      </c>
      <c r="J18">
        <v>0</v>
      </c>
      <c r="K18">
        <v>32.808398999999994</v>
      </c>
      <c r="L18" t="s">
        <v>47</v>
      </c>
      <c r="M18">
        <f>VLOOKUP(K18,PGA!$G$2:$H$555,2,TRUE)-(VLOOKUP(O18,PGA!$G$2:$H$555,2,TRUE))-1</f>
        <v>-1</v>
      </c>
      <c r="N18">
        <v>0</v>
      </c>
      <c r="O18">
        <v>21.872265999999996</v>
      </c>
      <c r="P18" t="s">
        <v>47</v>
      </c>
      <c r="Q18">
        <f>VLOOKUP(O18,PGA!$G$2:$H$555,2,TRUE)-(VLOOKUP(S18,PGA!$A$2:$B$92,2,TRUE))-1</f>
        <v>0.24999999999999978</v>
      </c>
      <c r="R18">
        <v>0</v>
      </c>
      <c r="S18">
        <v>2.1872265999999998</v>
      </c>
      <c r="T18" t="s">
        <v>50</v>
      </c>
      <c r="U18">
        <f>VLOOKUP(S18,PGA!$A$2:$B$92,2,TRUE)-(VLOOKUP(W18,PGA!$A$2:$B$92,2,TRUE))-1</f>
        <v>-0.66999999999999993</v>
      </c>
      <c r="V18">
        <v>0</v>
      </c>
      <c r="W18">
        <v>0.33333333333333331</v>
      </c>
      <c r="X18" t="s">
        <v>50</v>
      </c>
      <c r="Y18">
        <f>VLOOKUP(W18,PGA!$A$2:$B$92,2,TRUE)-1</f>
        <v>1.0000000000000009E-2</v>
      </c>
      <c r="Z18">
        <v>0</v>
      </c>
    </row>
    <row r="19" spans="1:26" x14ac:dyDescent="0.3">
      <c r="A19" s="3">
        <v>43629.708333333336</v>
      </c>
      <c r="B19" t="s">
        <v>93</v>
      </c>
      <c r="C19">
        <v>1</v>
      </c>
      <c r="D19" s="13">
        <v>3</v>
      </c>
      <c r="E19">
        <f t="shared" si="0"/>
        <v>1.08</v>
      </c>
      <c r="G19">
        <v>419.94750719999996</v>
      </c>
      <c r="H19" t="s">
        <v>68</v>
      </c>
      <c r="I19">
        <f>VLOOKUP(G19,PGA!$P$2:$Q$470,2,TRUE)-(VLOOKUP(K19,PGA!$D$2:$E$5557,2,TRUE))-1</f>
        <v>0.22999999999999998</v>
      </c>
      <c r="J19">
        <v>0</v>
      </c>
      <c r="K19">
        <v>121.39107629999999</v>
      </c>
      <c r="L19" t="s">
        <v>48</v>
      </c>
      <c r="M19">
        <f>VLOOKUP(K19,PGA!$D$2:$E$555,2,TRUE)-(VLOOKUP(O19,PGA!$A$2:$B$92,2,TRUE))-1</f>
        <v>0.29000000000000004</v>
      </c>
      <c r="N19">
        <v>3</v>
      </c>
      <c r="O19">
        <v>3.2808398999999997</v>
      </c>
      <c r="P19" t="s">
        <v>50</v>
      </c>
      <c r="Q19">
        <f>VLOOKUP(O19,PGA!$A$2:$B$92,2,TRUE)-1</f>
        <v>0.56000000000000005</v>
      </c>
      <c r="R19">
        <v>0</v>
      </c>
    </row>
    <row r="20" spans="1:26" x14ac:dyDescent="0.3">
      <c r="A20" s="3">
        <v>43624.392361111109</v>
      </c>
      <c r="B20" t="s">
        <v>88</v>
      </c>
      <c r="C20">
        <v>18</v>
      </c>
      <c r="D20" s="13">
        <v>3</v>
      </c>
      <c r="E20">
        <f t="shared" si="0"/>
        <v>0.97500000000000009</v>
      </c>
      <c r="G20">
        <v>358.70516239999995</v>
      </c>
      <c r="H20" t="s">
        <v>68</v>
      </c>
      <c r="I20">
        <f>VLOOKUP(G20,PGA!$P$2:$Q$470,2,TRUE)-(VLOOKUP(K20,PGA!$D$2:$E$5557,2,TRUE))-1</f>
        <v>-0.10499999999999998</v>
      </c>
      <c r="J20">
        <v>0</v>
      </c>
      <c r="K20">
        <v>166.22922159999999</v>
      </c>
      <c r="L20" t="s">
        <v>48</v>
      </c>
      <c r="M20">
        <f>VLOOKUP(K20,PGA!$D$2:$E$555,2,TRUE)-(VLOOKUP(O20,PGA!$A$2:$B$92,2,TRUE))-1</f>
        <v>0.52</v>
      </c>
      <c r="N20">
        <v>3</v>
      </c>
      <c r="O20">
        <v>3.2808398999999997</v>
      </c>
      <c r="P20" t="s">
        <v>50</v>
      </c>
      <c r="Q20">
        <f>VLOOKUP(O20,PGA!$A$2:$B$92,2,TRUE)-1</f>
        <v>0.56000000000000005</v>
      </c>
      <c r="R20">
        <v>0</v>
      </c>
    </row>
    <row r="21" spans="1:26" x14ac:dyDescent="0.3">
      <c r="A21" s="3">
        <v>43624.392361111109</v>
      </c>
      <c r="B21" t="s">
        <v>88</v>
      </c>
      <c r="C21">
        <v>17</v>
      </c>
      <c r="D21" s="13">
        <v>4</v>
      </c>
      <c r="E21">
        <f t="shared" si="0"/>
        <v>-0.95000000000000018</v>
      </c>
      <c r="G21">
        <v>168.41644819999999</v>
      </c>
      <c r="H21" t="s">
        <v>68</v>
      </c>
      <c r="I21">
        <f>VLOOKUP(G21,PGA!$P$2:$Q$470,2,TRUE)-(VLOOKUP(K21,PGA!$D$2:$E$5557,2,TRUE))-1</f>
        <v>2.0000000000000018E-2</v>
      </c>
      <c r="J21">
        <v>8</v>
      </c>
      <c r="K21">
        <v>8.7489063999999992</v>
      </c>
      <c r="L21" t="s">
        <v>48</v>
      </c>
      <c r="M21">
        <f>VLOOKUP(K21,PGA!$D$2:$E$555,2,TRUE)-(VLOOKUP(O21,PGA!$A$2:$B$92,2,TRUE))-1</f>
        <v>-0.10000000000000009</v>
      </c>
      <c r="N21">
        <v>0</v>
      </c>
      <c r="O21">
        <v>1.6666666666666667</v>
      </c>
      <c r="P21" t="s">
        <v>50</v>
      </c>
      <c r="Q21">
        <f>VLOOKUP(O21,PGA!$A$2:$B$92,2,TRUE)-(VLOOKUP(S21,PGA!$A$2:$B$92,2,TRUE))-1</f>
        <v>-0.88000000000000012</v>
      </c>
      <c r="R21">
        <v>0</v>
      </c>
      <c r="S21">
        <v>0.33333333333333331</v>
      </c>
      <c r="T21" t="s">
        <v>50</v>
      </c>
      <c r="U21">
        <f>VLOOKUP(S21,PGA!$A$2:$B$92,2,TRUE)-1</f>
        <v>1.0000000000000009E-2</v>
      </c>
      <c r="V21">
        <v>0</v>
      </c>
    </row>
    <row r="22" spans="1:26" x14ac:dyDescent="0.3">
      <c r="A22" s="3">
        <v>43624.392361111109</v>
      </c>
      <c r="B22" t="s">
        <v>88</v>
      </c>
      <c r="C22">
        <v>16</v>
      </c>
      <c r="D22" s="13">
        <v>5</v>
      </c>
      <c r="E22">
        <f t="shared" si="0"/>
        <v>-1.06</v>
      </c>
      <c r="G22">
        <v>344.48818949999998</v>
      </c>
      <c r="H22" t="s">
        <v>68</v>
      </c>
      <c r="I22">
        <f>VLOOKUP(G22,PGA!$P$2:$Q$470,2,TRUE)-(VLOOKUP(K22,PGA!$D$2:$E$5557,2,TRUE))-1</f>
        <v>2.9999999999999805E-2</v>
      </c>
      <c r="J22">
        <v>0</v>
      </c>
      <c r="K22">
        <v>129.04636939999997</v>
      </c>
      <c r="L22" t="s">
        <v>48</v>
      </c>
      <c r="M22">
        <f>VLOOKUP(K22,PGA!$D$2:$E$555,2,TRUE)-(VLOOKUP(O22,PGA!$A$2:$B$92,2,TRUE))-1</f>
        <v>-0.38199999999999967</v>
      </c>
      <c r="N22">
        <v>22</v>
      </c>
      <c r="O22">
        <v>24.059492599999999</v>
      </c>
      <c r="P22" t="s">
        <v>50</v>
      </c>
      <c r="Q22">
        <f>VLOOKUP(O22,PGA!$A$2:$B$92,2,TRUE)-(VLOOKUP(S22,PGA!$A$2:$B$92,2,TRUE))-1</f>
        <v>0.16199999999999992</v>
      </c>
      <c r="R22">
        <v>0</v>
      </c>
      <c r="S22">
        <v>1.6666666666666667</v>
      </c>
      <c r="T22" t="s">
        <v>50</v>
      </c>
      <c r="U22">
        <f>VLOOKUP(S22,PGA!$A$2:$B$92,2,TRUE)-(VLOOKUP(W22,PGA!$A$2:$B$92,2,TRUE))-1</f>
        <v>-0.88000000000000012</v>
      </c>
      <c r="V22">
        <v>0</v>
      </c>
      <c r="W22">
        <v>0.33333333333333331</v>
      </c>
      <c r="X22" t="s">
        <v>50</v>
      </c>
      <c r="Y22">
        <f>VLOOKUP(W22,PGA!$A$2:$B$92,2,TRUE)-1</f>
        <v>1.0000000000000009E-2</v>
      </c>
      <c r="Z22">
        <v>0</v>
      </c>
    </row>
    <row r="23" spans="1:26" x14ac:dyDescent="0.3">
      <c r="A23" s="3">
        <v>43624.392361111109</v>
      </c>
      <c r="B23" t="s">
        <v>88</v>
      </c>
      <c r="C23">
        <v>15</v>
      </c>
      <c r="D23" s="13">
        <v>5</v>
      </c>
      <c r="E23">
        <f t="shared" si="0"/>
        <v>-0.92250000000000032</v>
      </c>
      <c r="G23">
        <v>398.07524119999994</v>
      </c>
      <c r="H23" t="s">
        <v>68</v>
      </c>
      <c r="I23">
        <f>VLOOKUP(G23,PGA!$P$2:$Q$470,2,TRUE)-(VLOOKUP(K23,PGA!$G$2:$H$555,2,TRUE))-1</f>
        <v>-7.2500000000000231E-2</v>
      </c>
      <c r="J23">
        <v>0</v>
      </c>
      <c r="K23">
        <v>133.42082259999998</v>
      </c>
      <c r="L23" t="s">
        <v>47</v>
      </c>
      <c r="M23">
        <f>VLOOKUP(K23,PGA!$G$2:$H$555,2,TRUE)-(VLOOKUP(O23,PGA!$D$2:$E$5557,2,TRUE))-1</f>
        <v>-0.55000000000000027</v>
      </c>
      <c r="N23">
        <v>0</v>
      </c>
      <c r="O23">
        <v>63.429571399999993</v>
      </c>
      <c r="P23" t="s">
        <v>48</v>
      </c>
      <c r="Q23">
        <f>VLOOKUP(O23,PGA!$D$2:$E$555,2,TRUE)-(VLOOKUP(S23,PGA!$A$2:$B$92,2,TRUE))-1</f>
        <v>9.000000000000008E-2</v>
      </c>
      <c r="R23">
        <v>3</v>
      </c>
      <c r="S23">
        <v>3.3333333333333335</v>
      </c>
      <c r="T23" t="s">
        <v>50</v>
      </c>
      <c r="U23">
        <f>VLOOKUP(S23,PGA!$A$2:$B$92,2,TRUE)-(VLOOKUP(W23,PGA!$A$2:$B$92,2,TRUE))-1</f>
        <v>-0.39999999999999991</v>
      </c>
      <c r="V23">
        <v>0</v>
      </c>
      <c r="W23">
        <v>0.66666666666666663</v>
      </c>
      <c r="X23" t="s">
        <v>50</v>
      </c>
      <c r="Y23">
        <f>VLOOKUP(W23,PGA!$A$2:$B$92,2,TRUE)-1</f>
        <v>1.0000000000000009E-2</v>
      </c>
      <c r="Z23">
        <v>0</v>
      </c>
    </row>
    <row r="24" spans="1:26" x14ac:dyDescent="0.3">
      <c r="A24" s="3">
        <v>43624.392361111109</v>
      </c>
      <c r="B24" t="s">
        <v>88</v>
      </c>
      <c r="C24">
        <v>14</v>
      </c>
      <c r="D24" s="13">
        <v>4</v>
      </c>
      <c r="E24">
        <f t="shared" si="0"/>
        <v>0.28000000000000025</v>
      </c>
      <c r="G24">
        <v>447.28783969999995</v>
      </c>
      <c r="H24" t="s">
        <v>68</v>
      </c>
      <c r="I24">
        <f>VLOOKUP(G24,PGA!$P$2:$Q$470,2,TRUE)-(VLOOKUP(K24,PGA!$D$2:$E$5557,2,TRUE))-1</f>
        <v>0.20000000000000018</v>
      </c>
      <c r="J24">
        <v>0</v>
      </c>
      <c r="K24">
        <v>172.7909014</v>
      </c>
      <c r="L24" t="s">
        <v>48</v>
      </c>
      <c r="M24">
        <f>VLOOKUP(K24,PGA!$D$2:$E$555,2,TRUE)-(VLOOKUP(O24,PGA!$J$2:$K$555,2,TRUE))-1</f>
        <v>-0.39999999999999991</v>
      </c>
      <c r="N24">
        <v>14</v>
      </c>
      <c r="O24">
        <v>15.310586199999999</v>
      </c>
      <c r="P24" t="s">
        <v>49</v>
      </c>
      <c r="Q24">
        <f>VLOOKUP(O24,PGA!$J$2:$DH$555,2,TRUE)-(VLOOKUP(S24,PGA!$A$2:$B$92,2,TRUE))-1</f>
        <v>0.35000000000000009</v>
      </c>
      <c r="R24">
        <v>0</v>
      </c>
      <c r="S24">
        <v>1.3333333333333333</v>
      </c>
      <c r="T24" t="s">
        <v>50</v>
      </c>
      <c r="U24">
        <f>VLOOKUP(S24,PGA!$A$2:$B$92,2,TRUE)-1</f>
        <v>0.12999999999999989</v>
      </c>
      <c r="V24">
        <v>0</v>
      </c>
    </row>
    <row r="25" spans="1:26" x14ac:dyDescent="0.3">
      <c r="A25" s="3">
        <v>43624.392361111109</v>
      </c>
      <c r="B25" t="s">
        <v>88</v>
      </c>
      <c r="C25">
        <v>13</v>
      </c>
      <c r="D25" s="13">
        <v>4</v>
      </c>
      <c r="E25">
        <f t="shared" si="0"/>
        <v>0.79</v>
      </c>
      <c r="G25">
        <v>541.33858349999991</v>
      </c>
      <c r="H25" t="s">
        <v>68</v>
      </c>
      <c r="I25">
        <f>VLOOKUP(G25,PGA!$P$2:$Q$470,2,TRUE)-(VLOOKUP(K25,PGA!$D$2:$E$5557,2,TRUE))-1</f>
        <v>-8.9999999999999858E-2</v>
      </c>
      <c r="J25">
        <v>0</v>
      </c>
      <c r="K25">
        <v>328.08398999999997</v>
      </c>
      <c r="L25" t="s">
        <v>48</v>
      </c>
      <c r="M25">
        <f>VLOOKUP(K25,PGA!$D$2:$E$555,2,TRUE)-(VLOOKUP(O25,PGA!$D$2:$E$5557,2,TRUE))-1</f>
        <v>0.17999999999999972</v>
      </c>
      <c r="N25">
        <v>0</v>
      </c>
      <c r="O25">
        <v>60.148731499999997</v>
      </c>
      <c r="P25" t="s">
        <v>48</v>
      </c>
      <c r="Q25">
        <f>VLOOKUP(O25,PGA!$D$2:$E$555,2,TRUE)-(VLOOKUP(S25,PGA!$A$2:$B$92,2,TRUE))-1</f>
        <v>0.14000000000000012</v>
      </c>
      <c r="R25">
        <v>3</v>
      </c>
      <c r="S25">
        <v>3</v>
      </c>
      <c r="T25" t="s">
        <v>50</v>
      </c>
      <c r="U25">
        <f>VLOOKUP(S25,PGA!$A$2:$B$92,2,TRUE)-1</f>
        <v>0.56000000000000005</v>
      </c>
      <c r="V25">
        <v>0</v>
      </c>
    </row>
    <row r="26" spans="1:26" x14ac:dyDescent="0.3">
      <c r="A26" s="3">
        <v>43624.392361111109</v>
      </c>
      <c r="B26" t="s">
        <v>88</v>
      </c>
      <c r="C26">
        <v>12</v>
      </c>
      <c r="D26" s="13">
        <v>2</v>
      </c>
      <c r="E26">
        <f t="shared" si="0"/>
        <v>1.153</v>
      </c>
      <c r="G26">
        <v>194.66316739999999</v>
      </c>
      <c r="H26" t="s">
        <v>68</v>
      </c>
      <c r="I26">
        <f>VLOOKUP(G26,PGA!$P$2:$Q$470,2,TRUE)-(VLOOKUP(K26,PGA!$A$2:$B$92,2,TRUE))-1</f>
        <v>0.7330000000000001</v>
      </c>
      <c r="J26">
        <v>2</v>
      </c>
      <c r="K26">
        <v>2.6666666666666665</v>
      </c>
      <c r="L26" t="s">
        <v>50</v>
      </c>
      <c r="M26">
        <f>VLOOKUP(K26,PGA!$A$2:$B$92,2,TRUE)-1</f>
        <v>0.41999999999999993</v>
      </c>
      <c r="N26">
        <v>0</v>
      </c>
    </row>
    <row r="27" spans="1:26" x14ac:dyDescent="0.3">
      <c r="A27" s="3">
        <v>43624.392361111109</v>
      </c>
      <c r="B27" t="s">
        <v>88</v>
      </c>
      <c r="C27">
        <v>11</v>
      </c>
      <c r="D27" s="13">
        <v>5</v>
      </c>
      <c r="E27">
        <f t="shared" si="0"/>
        <v>-0.17999999999999972</v>
      </c>
      <c r="G27">
        <v>612.42344799999989</v>
      </c>
      <c r="H27" t="s">
        <v>68</v>
      </c>
      <c r="I27">
        <f>VLOOKUP(G27,PGA!$P$2:$Q$470,2,TRUE)-(VLOOKUP(K27,PGA!$D$2:$E$5557,2,TRUE))-1</f>
        <v>-0.20999999999999996</v>
      </c>
      <c r="J27">
        <v>0</v>
      </c>
      <c r="K27">
        <v>351.04986929999995</v>
      </c>
      <c r="L27" t="s">
        <v>48</v>
      </c>
      <c r="M27">
        <f>VLOOKUP(K27,PGA!$D$2:$E$555,2,TRUE)-(VLOOKUP(O27,PGA!$D$2:$E$5557,2,TRUE))-1</f>
        <v>0.12000000000000011</v>
      </c>
      <c r="N27">
        <v>0</v>
      </c>
      <c r="O27">
        <v>132.32720929999999</v>
      </c>
      <c r="P27" t="s">
        <v>48</v>
      </c>
      <c r="Q27">
        <f>VLOOKUP(O27,PGA!$D$2:$E$555,2,TRUE)-(VLOOKUP(S27,PGA!$A$2:$B$92,2,TRUE))-1</f>
        <v>-0.16599999999999993</v>
      </c>
      <c r="R27">
        <v>13</v>
      </c>
      <c r="S27">
        <v>14.216972899999998</v>
      </c>
      <c r="T27" t="s">
        <v>50</v>
      </c>
      <c r="U27">
        <f>VLOOKUP(S27,PGA!$A$2:$B$92,2,TRUE)-(VLOOKUP(W27,PGA!$A$2:$B$92,2,TRUE))-1</f>
        <v>-0.72199999999999998</v>
      </c>
      <c r="V27">
        <v>0</v>
      </c>
      <c r="W27">
        <v>5.4680664999999991</v>
      </c>
      <c r="X27" t="s">
        <v>50</v>
      </c>
      <c r="Y27">
        <f>VLOOKUP(W27,PGA!$A$2:$B$92,2,TRUE)-1</f>
        <v>0.79800000000000004</v>
      </c>
      <c r="Z27">
        <v>0</v>
      </c>
    </row>
    <row r="28" spans="1:26" x14ac:dyDescent="0.3">
      <c r="A28" s="3">
        <v>43624.392361111109</v>
      </c>
      <c r="B28" t="s">
        <v>88</v>
      </c>
      <c r="C28">
        <v>10</v>
      </c>
      <c r="D28" s="13">
        <v>4</v>
      </c>
      <c r="E28">
        <f t="shared" si="0"/>
        <v>-0.10999999999999988</v>
      </c>
      <c r="G28">
        <v>321.52231019999999</v>
      </c>
      <c r="H28" t="s">
        <v>68</v>
      </c>
      <c r="I28">
        <f>VLOOKUP(G28,PGA!$P$2:$Q$470,2,TRUE)-(VLOOKUP(K28,PGA!$G$2:$H$555,2,TRUE))-1</f>
        <v>-6.999999999999984E-2</v>
      </c>
      <c r="J28">
        <v>0</v>
      </c>
      <c r="K28">
        <v>106.08049009999999</v>
      </c>
      <c r="L28" t="s">
        <v>47</v>
      </c>
      <c r="M28">
        <f>VLOOKUP(K28,PGA!$G$2:$H$555,2,TRUE)-(VLOOKUP(O28,PGA!$G$2:$H$555,2,TRUE))-1</f>
        <v>-0.62999999999999989</v>
      </c>
      <c r="N28">
        <v>0</v>
      </c>
      <c r="O28">
        <v>20.778652699999999</v>
      </c>
      <c r="P28" t="s">
        <v>47</v>
      </c>
      <c r="Q28">
        <f>VLOOKUP(O28,PGA!$G$2:$H$555,2,TRUE)-(VLOOKUP(S28,PGA!$A$2:$B$92,2,TRUE))-1</f>
        <v>0.54999999999999982</v>
      </c>
      <c r="R28">
        <v>0</v>
      </c>
      <c r="S28">
        <v>1</v>
      </c>
      <c r="T28" t="s">
        <v>50</v>
      </c>
      <c r="U28">
        <f>VLOOKUP(S28,PGA!$A$2:$B$92,2,TRUE)-1</f>
        <v>4.0000000000000036E-2</v>
      </c>
      <c r="V28">
        <v>0</v>
      </c>
    </row>
    <row r="29" spans="1:26" x14ac:dyDescent="0.3">
      <c r="A29" s="3">
        <v>43624.392361111109</v>
      </c>
      <c r="B29" t="s">
        <v>88</v>
      </c>
      <c r="C29">
        <v>9</v>
      </c>
      <c r="D29" s="13">
        <v>3</v>
      </c>
      <c r="E29">
        <f t="shared" si="0"/>
        <v>-2.9999999999999805E-2</v>
      </c>
      <c r="G29">
        <v>135.60804919999998</v>
      </c>
      <c r="H29" t="s">
        <v>68</v>
      </c>
      <c r="I29">
        <f>VLOOKUP(G29,PGA!$P$2:$Q$470,2,TRUE)-(VLOOKUP(K29,PGA!$A$2:$B$92,2,TRUE))-1</f>
        <v>0.63000000000000012</v>
      </c>
      <c r="J29">
        <v>2</v>
      </c>
      <c r="K29">
        <v>2.1872265999999998</v>
      </c>
      <c r="L29" t="s">
        <v>50</v>
      </c>
      <c r="M29">
        <f>VLOOKUP(K29,PGA!$A$2:$B$92,2,TRUE)-(VLOOKUP(O29,PGA!$A$2:$B$92,2,TRUE))-1</f>
        <v>-0.66999999999999993</v>
      </c>
      <c r="N29">
        <v>0</v>
      </c>
      <c r="O29">
        <v>0.33333333333333331</v>
      </c>
      <c r="P29" t="s">
        <v>50</v>
      </c>
      <c r="Q29">
        <f>VLOOKUP(O29,PGA!$A$2:$B$92,2,TRUE)-1</f>
        <v>1.0000000000000009E-2</v>
      </c>
      <c r="R29">
        <v>0</v>
      </c>
    </row>
    <row r="30" spans="1:26" x14ac:dyDescent="0.3">
      <c r="A30" s="3">
        <v>43624.392361111109</v>
      </c>
      <c r="B30" t="s">
        <v>88</v>
      </c>
      <c r="C30">
        <v>8</v>
      </c>
      <c r="D30" s="13">
        <v>5</v>
      </c>
      <c r="E30">
        <f t="shared" si="0"/>
        <v>-0.30499999999999972</v>
      </c>
      <c r="G30">
        <v>510.71741109999994</v>
      </c>
      <c r="H30" t="s">
        <v>68</v>
      </c>
      <c r="I30">
        <f>VLOOKUP(G30,PGA!$P$2:$Q$470,2,TRUE)-(VLOOKUP(K30,PGA!$M$2:$N$555,2,TRUE))-1</f>
        <v>-0.17499999999999982</v>
      </c>
      <c r="J30">
        <v>0</v>
      </c>
      <c r="K30">
        <v>199.03762059999997</v>
      </c>
      <c r="L30" t="s">
        <v>60</v>
      </c>
      <c r="M30">
        <f>VLOOKUP(K30,PGA!$M$2:$EL$555,2,TRUE)-(VLOOKUP(O30,PGA!$G$2:$H$555,2,TRUE))-1</f>
        <v>-0.2799999999999998</v>
      </c>
      <c r="N30">
        <v>0</v>
      </c>
      <c r="O30">
        <v>134.5144359</v>
      </c>
      <c r="P30" t="s">
        <v>47</v>
      </c>
      <c r="Q30">
        <f>VLOOKUP(O30,PGA!$G$2:$H$555,2,TRUE)-(VLOOKUP(S30,PGA!$A$2:$B$92,2,TRUE))-1</f>
        <v>0.25600000000000001</v>
      </c>
      <c r="R30">
        <v>7</v>
      </c>
      <c r="S30">
        <v>7.6552930999999997</v>
      </c>
      <c r="T30" t="s">
        <v>50</v>
      </c>
      <c r="U30">
        <f>VLOOKUP(S30,PGA!$A$2:$B$92,2,TRUE)-(VLOOKUP(W30,PGA!$A$2:$B$92,2,TRUE))-1</f>
        <v>-0.1160000000000001</v>
      </c>
      <c r="V30">
        <v>0</v>
      </c>
      <c r="W30">
        <v>0.66666666666666663</v>
      </c>
      <c r="X30" t="s">
        <v>50</v>
      </c>
      <c r="Y30">
        <f>VLOOKUP(W30,PGA!$A$2:$B$92,2,TRUE)-1</f>
        <v>1.0000000000000009E-2</v>
      </c>
      <c r="Z30">
        <v>0</v>
      </c>
    </row>
    <row r="31" spans="1:26" x14ac:dyDescent="0.3">
      <c r="A31" s="3">
        <v>43624.392361111109</v>
      </c>
      <c r="B31" t="s">
        <v>88</v>
      </c>
      <c r="C31">
        <v>7</v>
      </c>
      <c r="D31" s="13">
        <v>4</v>
      </c>
      <c r="E31">
        <f t="shared" si="0"/>
        <v>8.8499999999999801E-2</v>
      </c>
      <c r="G31">
        <v>400.26246779999997</v>
      </c>
      <c r="H31" t="s">
        <v>68</v>
      </c>
      <c r="I31">
        <f>VLOOKUP(G31,PGA!$P$2:$Q$470,2,TRUE)-(VLOOKUP(K31,PGA!$D$2:$E$5557,2,TRUE))-1</f>
        <v>0.17849999999999966</v>
      </c>
      <c r="J31">
        <v>0</v>
      </c>
      <c r="K31">
        <v>134.5144359</v>
      </c>
      <c r="L31" t="s">
        <v>48</v>
      </c>
      <c r="M31">
        <f>VLOOKUP(K31,PGA!$D$2:$E$555,2,TRUE)-(VLOOKUP(O31,PGA!$A$2:$B$92,2,TRUE))-1</f>
        <v>1.6000000000000236E-2</v>
      </c>
      <c r="N31">
        <v>7</v>
      </c>
      <c r="O31">
        <v>7.6552930999999997</v>
      </c>
      <c r="P31" t="s">
        <v>50</v>
      </c>
      <c r="Q31">
        <f>VLOOKUP(O31,PGA!$A$2:$B$92,2,TRUE)-(VLOOKUP(S31,PGA!$A$2:$B$92,2,TRUE))-1</f>
        <v>-0.1160000000000001</v>
      </c>
      <c r="R31">
        <v>0</v>
      </c>
      <c r="S31">
        <v>0.66666666666666663</v>
      </c>
      <c r="T31" t="s">
        <v>50</v>
      </c>
      <c r="U31">
        <f>VLOOKUP(S31,PGA!$A$2:$B$92,2,TRUE)-1</f>
        <v>1.0000000000000009E-2</v>
      </c>
      <c r="V31">
        <v>0</v>
      </c>
    </row>
    <row r="32" spans="1:26" x14ac:dyDescent="0.3">
      <c r="A32" s="3">
        <v>43624.392361111109</v>
      </c>
      <c r="B32" t="s">
        <v>88</v>
      </c>
      <c r="C32">
        <v>6</v>
      </c>
      <c r="D32" s="13">
        <v>4</v>
      </c>
      <c r="E32">
        <f t="shared" si="0"/>
        <v>-0.17499999999999982</v>
      </c>
      <c r="G32">
        <v>309.49256389999999</v>
      </c>
      <c r="H32" t="s">
        <v>68</v>
      </c>
      <c r="I32">
        <f>VLOOKUP(G32,PGA!$P$2:$Q$470,2,TRUE)-(VLOOKUP(K32,PGA!$D$2:$E$5557,2,TRUE))-1</f>
        <v>7.5000000000000178E-2</v>
      </c>
      <c r="J32">
        <v>0</v>
      </c>
      <c r="K32">
        <v>82.020997499999993</v>
      </c>
      <c r="L32" t="s">
        <v>48</v>
      </c>
      <c r="M32">
        <f>VLOOKUP(K32,PGA!$D$2:$E$555,2,TRUE)-(VLOOKUP(O32,PGA!$A$2:$B$92,2,TRUE))-1</f>
        <v>-0.10200000000000009</v>
      </c>
      <c r="N32">
        <v>6</v>
      </c>
      <c r="O32">
        <v>6.5616797999999994</v>
      </c>
      <c r="P32" t="s">
        <v>50</v>
      </c>
      <c r="Q32">
        <f>VLOOKUP(O32,PGA!$A$2:$B$92,2,TRUE)-(VLOOKUP(S32,PGA!$A$2:$B$92,2,TRUE))-1</f>
        <v>-0.15799999999999992</v>
      </c>
      <c r="R32">
        <v>0</v>
      </c>
      <c r="S32">
        <v>0.33333333333333331</v>
      </c>
      <c r="T32" t="s">
        <v>50</v>
      </c>
      <c r="U32">
        <f>VLOOKUP(S32,PGA!$A$2:$B$92,2,TRUE)-1</f>
        <v>1.0000000000000009E-2</v>
      </c>
      <c r="V32">
        <v>0</v>
      </c>
    </row>
    <row r="33" spans="1:34" x14ac:dyDescent="0.3">
      <c r="A33" s="3">
        <v>43624.392361111109</v>
      </c>
      <c r="B33" t="s">
        <v>88</v>
      </c>
      <c r="C33">
        <v>5</v>
      </c>
      <c r="D33" s="13">
        <v>5</v>
      </c>
      <c r="E33">
        <f t="shared" si="0"/>
        <v>-1.08</v>
      </c>
      <c r="G33">
        <v>329.17760329999999</v>
      </c>
      <c r="H33" t="s">
        <v>68</v>
      </c>
      <c r="I33">
        <f>VLOOKUP(G33,PGA!$P$2:$Q$470,2,TRUE)-(VLOOKUP(K33,PGA!$G$2:$H$555,2,TRUE))-1</f>
        <v>-0.22999999999999998</v>
      </c>
      <c r="J33">
        <v>0</v>
      </c>
      <c r="K33">
        <v>129.04636939999997</v>
      </c>
      <c r="L33" t="s">
        <v>47</v>
      </c>
      <c r="M33">
        <f>VLOOKUP(K33,PGA!$G$2:$H$555,2,TRUE)-(VLOOKUP(O33,PGA!$A$2:$B$92,2,TRUE))-1</f>
        <v>0.25600000000000001</v>
      </c>
      <c r="N33">
        <v>7</v>
      </c>
      <c r="O33">
        <v>7.6552930999999997</v>
      </c>
      <c r="P33" t="s">
        <v>50</v>
      </c>
      <c r="Q33">
        <f>VLOOKUP(O33,PGA!$A$2:$B$92,2,TRUE)-(VLOOKUP(S33,PGA!$A$2:$B$92,2,TRUE))-1</f>
        <v>-0.14600000000000013</v>
      </c>
      <c r="R33">
        <v>0</v>
      </c>
      <c r="S33">
        <v>1</v>
      </c>
      <c r="T33" t="s">
        <v>50</v>
      </c>
      <c r="U33">
        <f>VLOOKUP(S33,PGA!$A$2:$B$92,2,TRUE)-(VLOOKUP(W33,PGA!$A$2:$B$92,2,TRUE))-1</f>
        <v>-0.97</v>
      </c>
      <c r="V33">
        <v>0</v>
      </c>
      <c r="W33">
        <v>0.33333333333333331</v>
      </c>
      <c r="X33" t="s">
        <v>50</v>
      </c>
      <c r="Y33">
        <f>VLOOKUP(W33,PGA!$A$2:$B$92,2,TRUE)-1</f>
        <v>1.0000000000000009E-2</v>
      </c>
      <c r="Z33">
        <v>0</v>
      </c>
    </row>
    <row r="34" spans="1:34" x14ac:dyDescent="0.3">
      <c r="A34" s="3">
        <v>43624.392361111109</v>
      </c>
      <c r="B34" t="s">
        <v>88</v>
      </c>
      <c r="C34">
        <v>4</v>
      </c>
      <c r="D34" s="13">
        <v>2</v>
      </c>
      <c r="E34">
        <f t="shared" ref="E34:E65" si="1">SUM(I34,M34,Q34,U34,Y34,AC34,AG34,AK34,AO34,BA34,AW34,AS34,BE34)</f>
        <v>0.9700000000000002</v>
      </c>
      <c r="G34">
        <v>129.04636939999997</v>
      </c>
      <c r="H34" t="s">
        <v>68</v>
      </c>
      <c r="I34">
        <f>VLOOKUP(G34,PGA!$P$2:$Q$470,2,TRUE)-(VLOOKUP(K34,PGA!$A$2:$B$92,2,TRUE))-1</f>
        <v>0.8400000000000003</v>
      </c>
      <c r="J34">
        <v>2</v>
      </c>
      <c r="K34">
        <v>1.6666666666666667</v>
      </c>
      <c r="L34" t="s">
        <v>50</v>
      </c>
      <c r="M34">
        <f>VLOOKUP(K34,PGA!$A$2:$B$92,2,TRUE)-1</f>
        <v>0.12999999999999989</v>
      </c>
      <c r="N34">
        <v>0</v>
      </c>
    </row>
    <row r="35" spans="1:34" x14ac:dyDescent="0.3">
      <c r="A35" s="3">
        <v>43624.392361111109</v>
      </c>
      <c r="B35" t="s">
        <v>88</v>
      </c>
      <c r="C35">
        <v>3</v>
      </c>
      <c r="D35" s="13">
        <v>6</v>
      </c>
      <c r="E35">
        <f t="shared" si="1"/>
        <v>-2.29</v>
      </c>
      <c r="G35">
        <v>276.68416489999998</v>
      </c>
      <c r="H35" t="s">
        <v>68</v>
      </c>
      <c r="I35">
        <f>VLOOKUP(G35,PGA!$P$2:$Q$470,2,TRUE)-(VLOOKUP(K35,PGA!$M$2:$N$555,2,TRUE))-1</f>
        <v>-1.0899999999999999</v>
      </c>
      <c r="J35">
        <v>0</v>
      </c>
      <c r="K35">
        <v>60.148731499999997</v>
      </c>
      <c r="L35" t="s">
        <v>60</v>
      </c>
      <c r="M35">
        <f>VLOOKUP(K35,PGA!$M$2:$EL$555,2,TRUE)-(VLOOKUP(O35,PGA!$M$2:$N$555,2,TRUE))-1</f>
        <v>-1</v>
      </c>
      <c r="N35">
        <v>0</v>
      </c>
      <c r="O35">
        <v>38.276465499999993</v>
      </c>
      <c r="P35" t="s">
        <v>60</v>
      </c>
      <c r="Q35">
        <f>VLOOKUP(O35,PGA!$M$2:$EL$555,2,TRUE)-(VLOOKUP(S35,PGA!$J$2:$K$555,2,TRUE))-1</f>
        <v>0.27</v>
      </c>
      <c r="R35">
        <v>0</v>
      </c>
      <c r="S35">
        <v>21.872265999999996</v>
      </c>
      <c r="T35" t="s">
        <v>49</v>
      </c>
      <c r="U35">
        <f>VLOOKUP(S35,PGA!$J$2:$DH$555,2,TRUE)-(VLOOKUP(W35,PGA!$A$2:$B$92,2,TRUE))-1</f>
        <v>0.18999999999999972</v>
      </c>
      <c r="V35">
        <v>0</v>
      </c>
      <c r="W35">
        <v>2.1872265999999998</v>
      </c>
      <c r="X35" t="s">
        <v>50</v>
      </c>
      <c r="Y35">
        <f>VLOOKUP(W35,PGA!$A$2:$B$92,2,TRUE)-(VLOOKUP(AA35,PGA!$A$2:$B$92,2,TRUE))-1</f>
        <v>-0.66999999999999993</v>
      </c>
      <c r="Z35">
        <v>0</v>
      </c>
      <c r="AA35">
        <v>0.33333333333333331</v>
      </c>
      <c r="AB35" t="s">
        <v>50</v>
      </c>
      <c r="AC35">
        <f>VLOOKUP(AA35,PGA!$A$2:$B$92,2,TRUE)-1</f>
        <v>1.0000000000000009E-2</v>
      </c>
      <c r="AD35">
        <v>0</v>
      </c>
    </row>
    <row r="36" spans="1:34" x14ac:dyDescent="0.3">
      <c r="A36" s="3">
        <v>43624.392361111109</v>
      </c>
      <c r="B36" t="s">
        <v>88</v>
      </c>
      <c r="C36">
        <v>2</v>
      </c>
      <c r="D36" s="13">
        <v>4</v>
      </c>
      <c r="E36">
        <f t="shared" si="1"/>
        <v>0.74000000000000021</v>
      </c>
      <c r="G36">
        <v>513.99825099999998</v>
      </c>
      <c r="H36" t="s">
        <v>68</v>
      </c>
      <c r="I36">
        <f>VLOOKUP(G36,PGA!$P$2:$Q$470,2,TRUE)-(VLOOKUP(K36,PGA!$D$2:$E$5557,2,TRUE))-1</f>
        <v>0.42000000000000037</v>
      </c>
      <c r="J36">
        <v>0</v>
      </c>
      <c r="K36">
        <v>215.44182009999997</v>
      </c>
      <c r="L36" t="s">
        <v>48</v>
      </c>
      <c r="M36">
        <f>VLOOKUP(K36,PGA!$D$2:$E$555,2,TRUE)-(VLOOKUP(O36,PGA!$A$2:$B$92,2,TRUE))-1</f>
        <v>0.60799999999999987</v>
      </c>
      <c r="N36">
        <v>4</v>
      </c>
      <c r="O36">
        <v>4.3744531999999996</v>
      </c>
      <c r="P36" t="s">
        <v>50</v>
      </c>
      <c r="Q36">
        <f>VLOOKUP(O36,PGA!$A$2:$B$92,2,TRUE)-(VLOOKUP(S36,PGA!$A$2:$B$92,2,TRUE))-1</f>
        <v>-0.29800000000000004</v>
      </c>
      <c r="R36">
        <v>0</v>
      </c>
      <c r="S36">
        <v>0.66666666666666663</v>
      </c>
      <c r="T36" t="s">
        <v>50</v>
      </c>
      <c r="U36">
        <f>VLOOKUP(S36,PGA!$A$2:$B$92,2,TRUE)-1</f>
        <v>1.0000000000000009E-2</v>
      </c>
      <c r="V36">
        <v>0</v>
      </c>
    </row>
    <row r="37" spans="1:34" x14ac:dyDescent="0.3">
      <c r="A37" s="3">
        <v>43624.392361111109</v>
      </c>
      <c r="B37" t="s">
        <v>88</v>
      </c>
      <c r="C37">
        <v>1</v>
      </c>
      <c r="D37" s="13">
        <v>5</v>
      </c>
      <c r="E37">
        <f t="shared" si="1"/>
        <v>-0.95000000000000018</v>
      </c>
      <c r="G37">
        <v>393.70078799999999</v>
      </c>
      <c r="H37" t="s">
        <v>68</v>
      </c>
      <c r="I37">
        <f>VLOOKUP(G37,PGA!$P$2:$Q$470,2,TRUE)-(VLOOKUP(K37,PGA!$D$2:$E$5557,2,TRUE))-1</f>
        <v>-3.0000000000000249E-2</v>
      </c>
      <c r="J37">
        <v>0</v>
      </c>
      <c r="K37">
        <v>167.32283489999998</v>
      </c>
      <c r="L37" t="s">
        <v>48</v>
      </c>
      <c r="M37">
        <f>VLOOKUP(K37,PGA!$D$2:$E$555,2,TRUE)-(VLOOKUP(O37,PGA!$A$2:$B$92,2,TRUE))-1</f>
        <v>0.3680000000000001</v>
      </c>
      <c r="N37">
        <v>4</v>
      </c>
      <c r="O37">
        <v>4.3744531999999996</v>
      </c>
      <c r="P37" t="s">
        <v>50</v>
      </c>
      <c r="Q37">
        <f>VLOOKUP(O37,PGA!$A$2:$B$92,2,TRUE)-(VLOOKUP(S37,PGA!$A$2:$B$92,2,TRUE))-1</f>
        <v>-0.29800000000000004</v>
      </c>
      <c r="R37">
        <v>0</v>
      </c>
      <c r="S37">
        <v>0.66666666666666663</v>
      </c>
      <c r="T37" t="s">
        <v>50</v>
      </c>
      <c r="U37">
        <f>VLOOKUP(S37,PGA!$A$2:$B$92,2,TRUE)-(VLOOKUP(W37,PGA!$A$2:$B$92,2,TRUE))-1</f>
        <v>-1</v>
      </c>
      <c r="V37">
        <v>0</v>
      </c>
      <c r="W37">
        <v>0.33333333333333331</v>
      </c>
      <c r="X37" t="s">
        <v>50</v>
      </c>
      <c r="Y37">
        <f>VLOOKUP(W37,PGA!$A$2:$B$92,2,TRUE)-1</f>
        <v>1.0000000000000009E-2</v>
      </c>
      <c r="Z37">
        <v>0</v>
      </c>
    </row>
    <row r="38" spans="1:34" x14ac:dyDescent="0.3">
      <c r="A38" s="3">
        <v>43623.541666666664</v>
      </c>
      <c r="B38" t="s">
        <v>88</v>
      </c>
      <c r="C38">
        <v>16</v>
      </c>
      <c r="D38" s="13">
        <v>4</v>
      </c>
      <c r="E38">
        <f t="shared" si="1"/>
        <v>-6.0000000000000053E-2</v>
      </c>
      <c r="G38">
        <v>344.48818949999998</v>
      </c>
      <c r="H38" t="s">
        <v>68</v>
      </c>
      <c r="I38">
        <f>VLOOKUP(G38,PGA!$P$2:$Q$470,2,TRUE)-(VLOOKUP(K38,PGA!$G$2:$H$555,2,TRUE))-1</f>
        <v>-0.29000000000000004</v>
      </c>
      <c r="J38">
        <v>0</v>
      </c>
      <c r="K38">
        <v>164.04199499999999</v>
      </c>
      <c r="L38" t="s">
        <v>47</v>
      </c>
      <c r="M38">
        <f>VLOOKUP(K38,PGA!$G$2:$H$555,2,TRUE)-(VLOOKUP(O38,PGA!$A$2:$B$92,2,TRUE))-1</f>
        <v>0.51800000000000002</v>
      </c>
      <c r="N38">
        <v>0</v>
      </c>
      <c r="O38">
        <v>4.3744531999999996</v>
      </c>
      <c r="P38" t="s">
        <v>50</v>
      </c>
      <c r="Q38">
        <f>VLOOKUP(O38,PGA!$A$2:$B$92,2,TRUE)-(VLOOKUP(S38,PGA!$A$2:$B$92,2,TRUE))-1</f>
        <v>-0.29800000000000004</v>
      </c>
      <c r="R38">
        <v>0</v>
      </c>
      <c r="S38">
        <v>0.33333333333333331</v>
      </c>
      <c r="T38" t="s">
        <v>50</v>
      </c>
      <c r="U38">
        <f>VLOOKUP(S38,PGA!$A$2:$B$92,2,TRUE)-1</f>
        <v>1.0000000000000009E-2</v>
      </c>
      <c r="V38">
        <v>0</v>
      </c>
    </row>
    <row r="39" spans="1:34" x14ac:dyDescent="0.3">
      <c r="A39" s="3">
        <v>43623.541666666664</v>
      </c>
      <c r="B39" t="s">
        <v>88</v>
      </c>
      <c r="C39">
        <v>15</v>
      </c>
      <c r="D39" s="13">
        <v>5</v>
      </c>
      <c r="E39">
        <f t="shared" si="1"/>
        <v>-0.92250000000000032</v>
      </c>
      <c r="G39">
        <v>398.07524119999994</v>
      </c>
      <c r="H39" t="s">
        <v>68</v>
      </c>
      <c r="I39">
        <f>VLOOKUP(G39,PGA!$P$2:$Q$470,2,TRUE)-(VLOOKUP(K39,PGA!$M$2:$N$555,2,TRUE))-1</f>
        <v>-0.72250000000000014</v>
      </c>
      <c r="J39">
        <v>0</v>
      </c>
      <c r="K39">
        <v>136.7016625</v>
      </c>
      <c r="L39" t="s">
        <v>60</v>
      </c>
      <c r="M39">
        <f>VLOOKUP(K39,PGA!$M$2:$EL$555,2,TRUE)-(VLOOKUP(O39,PGA!$G$2:$H$555,2,TRUE))-1</f>
        <v>-0.35000000000000009</v>
      </c>
      <c r="N39">
        <v>0</v>
      </c>
      <c r="O39">
        <v>132.32720929999999</v>
      </c>
      <c r="P39" t="s">
        <v>47</v>
      </c>
      <c r="Q39">
        <f>VLOOKUP(O39,PGA!$G$2:$H$555,2,TRUE)-(VLOOKUP(S39,PGA!$A$2:$B$92,2,TRUE))-1</f>
        <v>0.20999999999999996</v>
      </c>
      <c r="R39">
        <v>0</v>
      </c>
      <c r="S39">
        <v>8.7489063999999992</v>
      </c>
      <c r="T39" t="s">
        <v>50</v>
      </c>
      <c r="U39">
        <f>VLOOKUP(S39,PGA!$A$2:$B$92,2,TRUE)-(VLOOKUP(W39,PGA!$A$2:$B$92,2,TRUE))-1</f>
        <v>-7.0000000000000062E-2</v>
      </c>
      <c r="V39">
        <v>0</v>
      </c>
      <c r="W39">
        <v>0.33333333333333331</v>
      </c>
      <c r="X39" t="s">
        <v>50</v>
      </c>
      <c r="Y39">
        <f>VLOOKUP(W39,PGA!$A$2:$B$92,2,TRUE)-1</f>
        <v>1.0000000000000009E-2</v>
      </c>
      <c r="Z39">
        <v>0</v>
      </c>
    </row>
    <row r="40" spans="1:34" x14ac:dyDescent="0.3">
      <c r="A40" s="3">
        <v>43623.541666666664</v>
      </c>
      <c r="B40" t="s">
        <v>88</v>
      </c>
      <c r="C40">
        <v>14</v>
      </c>
      <c r="D40" s="13">
        <v>4</v>
      </c>
      <c r="E40">
        <f t="shared" si="1"/>
        <v>0.28000000000000047</v>
      </c>
      <c r="G40">
        <v>447.28783969999995</v>
      </c>
      <c r="H40" t="s">
        <v>68</v>
      </c>
      <c r="I40">
        <f>VLOOKUP(G40,PGA!$P$2:$Q$470,2,TRUE)-(VLOOKUP(K40,PGA!$D$2:$E$5557,2,TRUE))-1</f>
        <v>0.20000000000000018</v>
      </c>
      <c r="J40">
        <v>0</v>
      </c>
      <c r="K40">
        <v>166.22922159999999</v>
      </c>
      <c r="L40" t="s">
        <v>48</v>
      </c>
      <c r="M40">
        <f>VLOOKUP(K40,PGA!$D$2:$E$555,2,TRUE)-(VLOOKUP(O40,PGA!$G$2:$H$555,2,TRUE))-1</f>
        <v>-0.25999999999999979</v>
      </c>
      <c r="N40">
        <v>12</v>
      </c>
      <c r="O40">
        <v>13.123359599999999</v>
      </c>
      <c r="P40" t="s">
        <v>47</v>
      </c>
      <c r="Q40">
        <f>VLOOKUP(O40,PGA!$G$2:$H$555,2,TRUE)-(VLOOKUP(S40,PGA!$A$2:$B$92,2,TRUE))-1</f>
        <v>0</v>
      </c>
      <c r="R40">
        <v>0</v>
      </c>
      <c r="S40">
        <v>2</v>
      </c>
      <c r="T40" t="s">
        <v>50</v>
      </c>
      <c r="U40">
        <f>VLOOKUP(S40,PGA!$A$2:$B$92,2,TRUE)-1</f>
        <v>0.34000000000000008</v>
      </c>
      <c r="V40">
        <v>0</v>
      </c>
    </row>
    <row r="41" spans="1:34" x14ac:dyDescent="0.3">
      <c r="A41" s="3">
        <v>43623.541666666664</v>
      </c>
      <c r="B41" t="s">
        <v>88</v>
      </c>
      <c r="C41">
        <v>13</v>
      </c>
      <c r="D41" s="13">
        <v>5</v>
      </c>
      <c r="E41">
        <f t="shared" si="1"/>
        <v>-0.20999999999999996</v>
      </c>
      <c r="G41">
        <v>541.33858349999991</v>
      </c>
      <c r="H41" t="s">
        <v>68</v>
      </c>
      <c r="I41">
        <f>VLOOKUP(G41,PGA!$P$2:$Q$470,2,TRUE)-(VLOOKUP(K41,PGA!$D$2:$E$5557,2,TRUE))-1</f>
        <v>-0.24000000000000021</v>
      </c>
      <c r="J41">
        <v>0</v>
      </c>
      <c r="K41">
        <v>351.04986929999995</v>
      </c>
      <c r="L41" t="s">
        <v>48</v>
      </c>
      <c r="M41">
        <f>VLOOKUP(K41,PGA!$D$2:$E$555,2,TRUE)-(VLOOKUP(O41,PGA!$D$2:$E$5557,2,TRUE))-1</f>
        <v>-0.1599999999999997</v>
      </c>
      <c r="N41">
        <v>0</v>
      </c>
      <c r="O41">
        <v>190.28871419999999</v>
      </c>
      <c r="P41" t="s">
        <v>48</v>
      </c>
      <c r="Q41">
        <f>VLOOKUP(O41,PGA!$D$2:$E$555,2,TRUE)-(VLOOKUP(S41,PGA!$A$2:$B$92,2,TRUE))-1</f>
        <v>8.1999999999999851E-2</v>
      </c>
      <c r="R41">
        <v>0</v>
      </c>
      <c r="S41">
        <v>15.310586199999999</v>
      </c>
      <c r="T41" t="s">
        <v>50</v>
      </c>
      <c r="U41">
        <f>VLOOKUP(S41,PGA!$A$2:$B$92,2,TRUE)-(VLOOKUP(W41,PGA!$A$2:$B$92,2,TRUE))-1</f>
        <v>9.8000000000000087E-2</v>
      </c>
      <c r="V41">
        <v>0</v>
      </c>
      <c r="W41">
        <v>0.66666666666666663</v>
      </c>
      <c r="X41" t="s">
        <v>50</v>
      </c>
      <c r="Y41">
        <f>VLOOKUP(W41,PGA!$A$2:$B$92,2,TRUE)-1</f>
        <v>1.0000000000000009E-2</v>
      </c>
      <c r="Z41">
        <v>0</v>
      </c>
    </row>
    <row r="42" spans="1:34" x14ac:dyDescent="0.3">
      <c r="A42" s="3">
        <v>43623.541666666664</v>
      </c>
      <c r="B42" t="s">
        <v>88</v>
      </c>
      <c r="C42">
        <v>12</v>
      </c>
      <c r="D42" s="13">
        <v>5</v>
      </c>
      <c r="E42">
        <f t="shared" si="1"/>
        <v>-1.915</v>
      </c>
      <c r="G42">
        <v>182.63342109999999</v>
      </c>
      <c r="H42" t="s">
        <v>68</v>
      </c>
      <c r="I42">
        <f>VLOOKUP(G42,PGA!$P$2:$Q$470,2,TRUE)-(VLOOKUP(K42,PGA!$G$2:$H$555,2,TRUE))-1</f>
        <v>-0.69499999999999984</v>
      </c>
      <c r="J42">
        <v>34</v>
      </c>
      <c r="K42">
        <v>37.182852199999999</v>
      </c>
      <c r="L42" t="s">
        <v>47</v>
      </c>
      <c r="M42">
        <f>VLOOKUP(K42,PGA!$G$2:$H$555,2,TRUE)-(VLOOKUP(O42,PGA!$A$2:$B$92,2,TRUE))-1</f>
        <v>6.7999999999999838E-2</v>
      </c>
      <c r="N42">
        <v>0</v>
      </c>
      <c r="O42">
        <v>4.3744531999999996</v>
      </c>
      <c r="P42" t="s">
        <v>50</v>
      </c>
      <c r="Q42">
        <f>VLOOKUP(O42,PGA!$A$2:$B$92,2,TRUE)-(VLOOKUP(S42,PGA!$A$2:$B$92,2,TRUE))-1</f>
        <v>-0.41799999999999993</v>
      </c>
      <c r="R42">
        <v>0</v>
      </c>
      <c r="S42">
        <v>1.3333333333333333</v>
      </c>
      <c r="T42" t="s">
        <v>50</v>
      </c>
      <c r="U42">
        <f>VLOOKUP(S42,PGA!$A$2:$B$92,2,TRUE)-(VLOOKUP(W42,PGA!$A$2:$B$92,2,TRUE))-1</f>
        <v>-0.88000000000000012</v>
      </c>
      <c r="V42">
        <v>0</v>
      </c>
      <c r="W42">
        <v>0.33333333333333331</v>
      </c>
      <c r="X42" t="s">
        <v>50</v>
      </c>
      <c r="Y42">
        <f>VLOOKUP(W42,PGA!$A$2:$B$92,2,TRUE)-1</f>
        <v>1.0000000000000009E-2</v>
      </c>
      <c r="Z42">
        <v>0</v>
      </c>
    </row>
    <row r="43" spans="1:34" x14ac:dyDescent="0.3">
      <c r="A43" s="3">
        <v>43616.541666666664</v>
      </c>
      <c r="B43" t="s">
        <v>94</v>
      </c>
      <c r="C43">
        <v>9</v>
      </c>
      <c r="D43" s="13">
        <v>5</v>
      </c>
      <c r="E43">
        <f t="shared" si="1"/>
        <v>-1.9500000000000002</v>
      </c>
      <c r="G43">
        <v>167.32283489999998</v>
      </c>
      <c r="H43" t="s">
        <v>68</v>
      </c>
      <c r="I43">
        <f>VLOOKUP(G43,PGA!$P$2:$Q$470,2,TRUE)-(VLOOKUP(K43,PGA!$G$2:$H$555,2,TRUE))-1</f>
        <v>-0.54</v>
      </c>
      <c r="J43">
        <v>0</v>
      </c>
      <c r="K43">
        <v>21.872265999999996</v>
      </c>
      <c r="L43" t="s">
        <v>47</v>
      </c>
      <c r="M43">
        <f>VLOOKUP(K43,PGA!$G$2:$H$555,2,TRUE)-(VLOOKUP(O43,PGA!$J$2:$K$555,2,TRUE))-1</f>
        <v>-0.94</v>
      </c>
      <c r="N43">
        <v>0</v>
      </c>
      <c r="O43">
        <v>27.340332499999999</v>
      </c>
      <c r="P43" t="s">
        <v>49</v>
      </c>
      <c r="Q43">
        <f>VLOOKUP(O43,PGA!$J$2:$DH$555,2,TRUE)-(VLOOKUP(S43,PGA!$A$2:$B$92,2,TRUE))-1</f>
        <v>-3.0000000000000249E-2</v>
      </c>
      <c r="R43">
        <v>0</v>
      </c>
      <c r="S43">
        <v>3.2808398999999997</v>
      </c>
      <c r="T43" t="s">
        <v>50</v>
      </c>
      <c r="U43">
        <f>VLOOKUP(S43,PGA!$A$2:$B$92,2,TRUE)-(VLOOKUP(W43,PGA!$A$2:$B$92,2,TRUE))-1</f>
        <v>-0.44999999999999996</v>
      </c>
      <c r="V43">
        <v>0</v>
      </c>
      <c r="W43">
        <v>0.33333333333333331</v>
      </c>
      <c r="X43" t="s">
        <v>50</v>
      </c>
      <c r="Y43">
        <f>VLOOKUP(W43,PGA!$A$2:$B$92,2,TRUE)-1</f>
        <v>1.0000000000000009E-2</v>
      </c>
      <c r="Z43">
        <v>0</v>
      </c>
    </row>
    <row r="44" spans="1:34" x14ac:dyDescent="0.3">
      <c r="A44" s="3">
        <v>43616.541666666664</v>
      </c>
      <c r="B44" t="s">
        <v>94</v>
      </c>
      <c r="C44">
        <v>8</v>
      </c>
      <c r="D44" s="13">
        <v>4</v>
      </c>
      <c r="E44">
        <f t="shared" si="1"/>
        <v>0.82000000000000028</v>
      </c>
      <c r="G44">
        <v>567.58530269999994</v>
      </c>
      <c r="H44" t="s">
        <v>68</v>
      </c>
      <c r="I44">
        <f>VLOOKUP(G44,PGA!$P$2:$Q$470,2,TRUE)-(VLOOKUP(K44,PGA!$G$2:$H$555,2,TRUE))-1</f>
        <v>0.5900000000000003</v>
      </c>
      <c r="J44">
        <v>0</v>
      </c>
      <c r="K44">
        <v>157.48031519999998</v>
      </c>
      <c r="L44" t="s">
        <v>47</v>
      </c>
      <c r="M44">
        <f>VLOOKUP(K44,PGA!$G$2:$H$555,2,TRUE)-(VLOOKUP(O44,PGA!$G$2:$H$555,2,TRUE))-1</f>
        <v>-0.54999999999999982</v>
      </c>
      <c r="N44">
        <v>0</v>
      </c>
      <c r="O44">
        <v>37.182852199999999</v>
      </c>
      <c r="P44" t="s">
        <v>47</v>
      </c>
      <c r="Q44">
        <f>VLOOKUP(O44,PGA!$G$2:$H$555,2,TRUE)-(VLOOKUP(S44,PGA!$A$2:$B$92,2,TRUE))-1</f>
        <v>0.7699999999999998</v>
      </c>
      <c r="R44">
        <v>0</v>
      </c>
      <c r="S44">
        <v>0.66666666666666663</v>
      </c>
      <c r="T44" t="s">
        <v>50</v>
      </c>
      <c r="U44">
        <f>VLOOKUP(S44,PGA!$A$2:$B$92,2,TRUE)-1</f>
        <v>1.0000000000000009E-2</v>
      </c>
      <c r="V44">
        <v>0</v>
      </c>
    </row>
    <row r="45" spans="1:34" x14ac:dyDescent="0.3">
      <c r="A45" s="3">
        <v>43616.541666666664</v>
      </c>
      <c r="B45" t="s">
        <v>94</v>
      </c>
      <c r="C45">
        <v>7</v>
      </c>
      <c r="D45" s="13">
        <v>7</v>
      </c>
      <c r="E45">
        <f t="shared" si="1"/>
        <v>-2.7750000000000004</v>
      </c>
      <c r="G45">
        <v>431.97725349999996</v>
      </c>
      <c r="H45" t="s">
        <v>68</v>
      </c>
      <c r="I45">
        <f>VLOOKUP(G45,PGA!$P$2:$Q$470,2,TRUE)-(VLOOKUP(K45,PGA!$M$2:$N$555,2,TRUE))-1</f>
        <v>-0.5950000000000002</v>
      </c>
      <c r="J45">
        <v>0</v>
      </c>
      <c r="K45">
        <v>169.51006149999998</v>
      </c>
      <c r="L45" t="s">
        <v>60</v>
      </c>
      <c r="M45">
        <f>VLOOKUP(K45,PGA!$M$2:$EL$555,2,TRUE)-(VLOOKUP(O45,PGA!$G$2:$H$555,2,TRUE))-1</f>
        <v>-0.41000000000000014</v>
      </c>
      <c r="N45">
        <v>0</v>
      </c>
      <c r="O45">
        <v>153.10586199999997</v>
      </c>
      <c r="P45" t="s">
        <v>47</v>
      </c>
      <c r="Q45">
        <f>VLOOKUP(O45,PGA!$G$2:$H$555,2,TRUE)-(VLOOKUP(S45,PGA!$D$2:$E$5557,2,TRUE))-1</f>
        <v>-0.52</v>
      </c>
      <c r="R45">
        <v>0</v>
      </c>
      <c r="S45">
        <v>87.489063999999985</v>
      </c>
      <c r="T45" t="s">
        <v>48</v>
      </c>
      <c r="U45">
        <f>VLOOKUP(S45,PGA!$D$2:$E$555,2,TRUE)-(VLOOKUP(W45,PGA!$G$2:$H$555,2,TRUE))-1</f>
        <v>-0.7200000000000002</v>
      </c>
      <c r="V45">
        <v>0</v>
      </c>
      <c r="W45">
        <v>14.216972899999998</v>
      </c>
      <c r="X45" t="s">
        <v>47</v>
      </c>
      <c r="Y45">
        <f>VLOOKUP(W45,PGA!$G$2:$H$555,2,TRUE)-(VLOOKUP(AA45,PGA!$A$2:$B$92,2,TRUE))-1</f>
        <v>-8.9999999999999858E-2</v>
      </c>
      <c r="Z45">
        <v>0</v>
      </c>
      <c r="AA45">
        <v>3.2808398999999997</v>
      </c>
      <c r="AB45" t="s">
        <v>50</v>
      </c>
      <c r="AC45">
        <f>VLOOKUP(AA45,PGA!$A$2:$B$92,2,TRUE)-(VLOOKUP(AE45,PGA!$A$2:$B$92,2,TRUE))-1</f>
        <v>-0.44999999999999996</v>
      </c>
      <c r="AD45">
        <v>0</v>
      </c>
      <c r="AE45">
        <v>0.33333333333333331</v>
      </c>
      <c r="AF45" t="s">
        <v>50</v>
      </c>
      <c r="AG45">
        <f>VLOOKUP(AE45,PGA!$A$2:$B$92,2,TRUE)-1</f>
        <v>1.0000000000000009E-2</v>
      </c>
      <c r="AH45">
        <v>0</v>
      </c>
    </row>
    <row r="46" spans="1:34" x14ac:dyDescent="0.3">
      <c r="A46" s="3">
        <v>43616.541666666664</v>
      </c>
      <c r="B46" t="s">
        <v>94</v>
      </c>
      <c r="C46">
        <v>6</v>
      </c>
      <c r="D46" s="13">
        <v>5</v>
      </c>
      <c r="E46">
        <f t="shared" si="1"/>
        <v>-1.79</v>
      </c>
      <c r="G46">
        <v>222.00349989999998</v>
      </c>
      <c r="H46" t="s">
        <v>68</v>
      </c>
      <c r="I46">
        <f>VLOOKUP(G46,PGA!$P$2:$Q$470,2,TRUE)-(VLOOKUP(K46,PGA!$G$2:$H$555,2,TRUE))-1</f>
        <v>-0.37999999999999989</v>
      </c>
      <c r="J46">
        <v>18</v>
      </c>
      <c r="K46">
        <v>19.685039399999997</v>
      </c>
      <c r="L46" t="s">
        <v>47</v>
      </c>
      <c r="M46">
        <f>VLOOKUP(K46,PGA!$G$2:$H$555,2,TRUE)-(VLOOKUP(O46,PGA!$G$2:$H$555,2,TRUE))-1</f>
        <v>-0.88000000000000034</v>
      </c>
      <c r="N46">
        <v>0</v>
      </c>
      <c r="O46">
        <v>15.310586199999999</v>
      </c>
      <c r="P46" t="s">
        <v>47</v>
      </c>
      <c r="Q46">
        <f>VLOOKUP(O46,PGA!$G$2:$H$555,2,TRUE)-(VLOOKUP(S46,PGA!$A$2:$B$92,2,TRUE))-1</f>
        <v>-0.42399999999999971</v>
      </c>
      <c r="R46">
        <v>0</v>
      </c>
      <c r="S46">
        <v>7.6552930999999997</v>
      </c>
      <c r="T46" t="s">
        <v>50</v>
      </c>
      <c r="U46">
        <f>VLOOKUP(S46,PGA!$A$2:$B$92,2,TRUE)-(VLOOKUP(W46,PGA!$A$2:$B$92,2,TRUE))-1</f>
        <v>-0.23599999999999999</v>
      </c>
      <c r="V46">
        <v>0</v>
      </c>
      <c r="W46">
        <v>1.6666666666666667</v>
      </c>
      <c r="X46" t="s">
        <v>50</v>
      </c>
      <c r="Y46">
        <f>VLOOKUP(W46,PGA!$A$2:$B$92,2,TRUE)-1</f>
        <v>0.12999999999999989</v>
      </c>
      <c r="Z46">
        <v>0</v>
      </c>
    </row>
    <row r="47" spans="1:34" x14ac:dyDescent="0.3">
      <c r="A47" s="3">
        <v>43616.541666666664</v>
      </c>
      <c r="B47" t="s">
        <v>94</v>
      </c>
      <c r="C47">
        <v>5</v>
      </c>
      <c r="D47" s="13">
        <v>4</v>
      </c>
      <c r="E47">
        <f t="shared" si="1"/>
        <v>0.28000000000000025</v>
      </c>
      <c r="G47">
        <v>446.19422639999993</v>
      </c>
      <c r="H47" t="s">
        <v>68</v>
      </c>
      <c r="I47">
        <f>VLOOKUP(G47,PGA!$P$2:$Q$470,2,TRUE)-(VLOOKUP(K47,PGA!$D$2:$E$5557,2,TRUE))-1</f>
        <v>0.30000000000000027</v>
      </c>
      <c r="J47">
        <v>0</v>
      </c>
      <c r="K47">
        <v>156.38670189999999</v>
      </c>
      <c r="L47" t="s">
        <v>48</v>
      </c>
      <c r="M47">
        <f>VLOOKUP(K47,PGA!$D$2:$E$555,2,TRUE)-(VLOOKUP(O47,PGA!$A$2:$B$92,2,TRUE))-1</f>
        <v>0.12799999999999989</v>
      </c>
      <c r="N47">
        <v>6</v>
      </c>
      <c r="O47">
        <v>6.5616797999999994</v>
      </c>
      <c r="P47" t="s">
        <v>50</v>
      </c>
      <c r="Q47">
        <f>VLOOKUP(O47,PGA!$A$2:$B$92,2,TRUE)-(VLOOKUP(S47,PGA!$A$2:$B$92,2,TRUE))-1</f>
        <v>-0.15799999999999992</v>
      </c>
      <c r="R47">
        <v>0</v>
      </c>
      <c r="S47">
        <v>0.33333333333333331</v>
      </c>
      <c r="T47" t="s">
        <v>50</v>
      </c>
      <c r="U47">
        <f>VLOOKUP(S47,PGA!$A$2:$B$92,2,TRUE)-1</f>
        <v>1.0000000000000009E-2</v>
      </c>
      <c r="V47">
        <v>0</v>
      </c>
    </row>
    <row r="48" spans="1:34" x14ac:dyDescent="0.3">
      <c r="A48" s="3">
        <v>43616.541666666664</v>
      </c>
      <c r="B48" t="s">
        <v>94</v>
      </c>
      <c r="C48">
        <v>4</v>
      </c>
      <c r="D48" s="13">
        <v>5</v>
      </c>
      <c r="E48">
        <f t="shared" si="1"/>
        <v>-0.17999999999999972</v>
      </c>
      <c r="G48">
        <v>551.18110319999994</v>
      </c>
      <c r="H48" t="s">
        <v>68</v>
      </c>
      <c r="I48">
        <f>VLOOKUP(G48,PGA!$P$2:$Q$470,2,TRUE)-(VLOOKUP(K48,PGA!$G$2:$H$555,2,TRUE))-1</f>
        <v>-7.9999999999999627E-2</v>
      </c>
      <c r="J48">
        <v>0</v>
      </c>
      <c r="K48">
        <v>290.90113779999996</v>
      </c>
      <c r="L48" t="s">
        <v>47</v>
      </c>
      <c r="M48">
        <f>VLOOKUP(K48,PGA!$G$2:$H$555,2,TRUE)-(VLOOKUP(O48,PGA!$G$2:$H$555,2,TRUE))-1</f>
        <v>0.31000000000000005</v>
      </c>
      <c r="N48">
        <v>24</v>
      </c>
      <c r="O48">
        <v>26.246719199999998</v>
      </c>
      <c r="P48" t="s">
        <v>47</v>
      </c>
      <c r="Q48">
        <f>VLOOKUP(O48,PGA!$G$2:$H$555,2,TRUE)-(VLOOKUP(S48,PGA!$A$2:$B$92,2,TRUE))-1</f>
        <v>-0.20800000000000018</v>
      </c>
      <c r="R48">
        <v>0</v>
      </c>
      <c r="S48">
        <v>5.4680664999999991</v>
      </c>
      <c r="T48" t="s">
        <v>50</v>
      </c>
      <c r="U48">
        <f>VLOOKUP(S48,PGA!$A$2:$B$92,2,TRUE)-(VLOOKUP(W48,PGA!$A$2:$B$92,2,TRUE))-1</f>
        <v>-0.21199999999999997</v>
      </c>
      <c r="V48">
        <v>0</v>
      </c>
      <c r="W48">
        <v>0.33333333333333331</v>
      </c>
      <c r="X48" t="s">
        <v>50</v>
      </c>
      <c r="Y48">
        <f>VLOOKUP(W48,PGA!$A$2:$B$92,2,TRUE)-1</f>
        <v>1.0000000000000009E-2</v>
      </c>
      <c r="Z48">
        <v>0</v>
      </c>
    </row>
    <row r="49" spans="1:30" x14ac:dyDescent="0.3">
      <c r="A49" s="3">
        <v>43616.541666666664</v>
      </c>
      <c r="B49" t="s">
        <v>94</v>
      </c>
      <c r="C49">
        <v>3</v>
      </c>
      <c r="D49" s="13">
        <v>5</v>
      </c>
      <c r="E49">
        <f t="shared" si="1"/>
        <v>-0.91999999999999993</v>
      </c>
      <c r="G49">
        <v>410.10498749999994</v>
      </c>
      <c r="H49" t="s">
        <v>68</v>
      </c>
      <c r="I49">
        <f>VLOOKUP(G49,PGA!$P$2:$Q$470,2,TRUE)-(VLOOKUP(K49,PGA!$G$2:$H$555,2,TRUE))-1</f>
        <v>-6.999999999999984E-2</v>
      </c>
      <c r="J49">
        <v>0</v>
      </c>
      <c r="K49">
        <v>139.98250239999999</v>
      </c>
      <c r="L49" t="s">
        <v>47</v>
      </c>
      <c r="M49">
        <f>VLOOKUP(K49,PGA!$G$2:$H$555,2,TRUE)-(VLOOKUP(O49,PGA!$G$2:$H$555,2,TRUE))-1</f>
        <v>-0.43999999999999995</v>
      </c>
      <c r="N49">
        <v>27</v>
      </c>
      <c r="O49">
        <v>29.527559099999998</v>
      </c>
      <c r="P49" t="s">
        <v>47</v>
      </c>
      <c r="Q49">
        <f>VLOOKUP(O49,PGA!$G$2:$H$555,2,TRUE)-(VLOOKUP(S49,PGA!$A$2:$B$92,2,TRUE))-1</f>
        <v>-0.20800000000000018</v>
      </c>
      <c r="R49">
        <v>0</v>
      </c>
      <c r="S49">
        <v>5.4680664999999991</v>
      </c>
      <c r="T49" t="s">
        <v>50</v>
      </c>
      <c r="U49">
        <f>VLOOKUP(S49,PGA!$A$2:$B$92,2,TRUE)-(VLOOKUP(W49,PGA!$A$2:$B$92,2,TRUE))-1</f>
        <v>-0.62199999999999989</v>
      </c>
      <c r="V49">
        <v>0</v>
      </c>
      <c r="W49">
        <v>2.6666666666666665</v>
      </c>
      <c r="X49" t="s">
        <v>50</v>
      </c>
      <c r="Y49">
        <f>VLOOKUP(W49,PGA!$A$2:$B$92,2,TRUE)-1</f>
        <v>0.41999999999999993</v>
      </c>
      <c r="Z49">
        <v>0</v>
      </c>
    </row>
    <row r="50" spans="1:30" x14ac:dyDescent="0.3">
      <c r="A50" s="3">
        <v>43616.541666666664</v>
      </c>
      <c r="B50" t="s">
        <v>94</v>
      </c>
      <c r="C50">
        <v>2</v>
      </c>
      <c r="D50" s="13">
        <v>4</v>
      </c>
      <c r="E50">
        <f t="shared" si="1"/>
        <v>0.16999999999999993</v>
      </c>
      <c r="G50">
        <v>424.32196039999997</v>
      </c>
      <c r="H50" t="s">
        <v>68</v>
      </c>
      <c r="I50">
        <f>VLOOKUP(G50,PGA!$P$2:$Q$470,2,TRUE)-(VLOOKUP(K50,PGA!$D$2:$E$5557,2,TRUE))-1</f>
        <v>0.37000000000000011</v>
      </c>
      <c r="J50">
        <v>0</v>
      </c>
      <c r="K50">
        <v>96.237970399999995</v>
      </c>
      <c r="L50" t="s">
        <v>48</v>
      </c>
      <c r="M50">
        <f>VLOOKUP(K50,PGA!$D$2:$E$555,2,TRUE)-(VLOOKUP(O50,PGA!$A$2:$B$92,2,TRUE))-1</f>
        <v>8.7999999999999856E-2</v>
      </c>
      <c r="N50">
        <v>4</v>
      </c>
      <c r="O50">
        <v>4.3744531999999996</v>
      </c>
      <c r="P50" t="s">
        <v>50</v>
      </c>
      <c r="Q50">
        <f>VLOOKUP(O50,PGA!$A$2:$B$92,2,TRUE)-(VLOOKUP(S50,PGA!$A$2:$B$92,2,TRUE))-1</f>
        <v>-0.29800000000000004</v>
      </c>
      <c r="R50">
        <v>0</v>
      </c>
      <c r="S50">
        <v>0.66666666666666663</v>
      </c>
      <c r="T50" t="s">
        <v>50</v>
      </c>
      <c r="U50">
        <f>VLOOKUP(S50,PGA!$A$2:$B$92,2,TRUE)-1</f>
        <v>1.0000000000000009E-2</v>
      </c>
      <c r="V50">
        <v>0</v>
      </c>
    </row>
    <row r="51" spans="1:30" x14ac:dyDescent="0.3">
      <c r="A51" s="3">
        <v>43616.541666666664</v>
      </c>
      <c r="B51" t="s">
        <v>94</v>
      </c>
      <c r="C51">
        <v>1</v>
      </c>
      <c r="D51" s="13">
        <v>5</v>
      </c>
      <c r="E51">
        <f t="shared" si="1"/>
        <v>-0.9115000000000002</v>
      </c>
      <c r="G51">
        <v>400.26246779999997</v>
      </c>
      <c r="H51" t="s">
        <v>68</v>
      </c>
      <c r="I51">
        <f>VLOOKUP(G51,PGA!$P$2:$Q$470,2,TRUE)-(VLOOKUP(K51,PGA!$G$2:$H$555,2,TRUE))-1</f>
        <v>8.49999999999973E-3</v>
      </c>
      <c r="J51">
        <v>0</v>
      </c>
      <c r="K51">
        <v>125.76552949999999</v>
      </c>
      <c r="L51" t="s">
        <v>47</v>
      </c>
      <c r="M51">
        <f>VLOOKUP(K51,PGA!$G$2:$H$555,2,TRUE)-(VLOOKUP(O51,PGA!$A$2:$B$92,2,TRUE))-1</f>
        <v>-2.8000000000000025E-2</v>
      </c>
      <c r="N51">
        <v>14</v>
      </c>
      <c r="O51">
        <v>15.310586199999999</v>
      </c>
      <c r="P51" t="s">
        <v>50</v>
      </c>
      <c r="Q51">
        <f>VLOOKUP(O51,PGA!$A$2:$B$92,2,TRUE)-(VLOOKUP(S51,PGA!$A$2:$B$92,2,TRUE))-1</f>
        <v>6.800000000000006E-2</v>
      </c>
      <c r="R51">
        <v>0</v>
      </c>
      <c r="S51">
        <v>1</v>
      </c>
      <c r="T51" t="s">
        <v>50</v>
      </c>
      <c r="U51">
        <f>VLOOKUP(S51,PGA!$A$2:$B$92,2,TRUE)-(VLOOKUP(W51,PGA!$A$2:$B$92,2,TRUE))-1</f>
        <v>-0.97</v>
      </c>
      <c r="V51">
        <v>0</v>
      </c>
      <c r="W51">
        <v>0.33333333333333331</v>
      </c>
      <c r="X51" t="s">
        <v>50</v>
      </c>
      <c r="Y51">
        <f>VLOOKUP(W51,PGA!$A$2:$B$92,2,TRUE)-1</f>
        <v>1.0000000000000009E-2</v>
      </c>
      <c r="Z51">
        <v>0</v>
      </c>
    </row>
    <row r="52" spans="1:30" x14ac:dyDescent="0.3">
      <c r="A52" s="3">
        <v>43615.666666666664</v>
      </c>
      <c r="B52" t="s">
        <v>64</v>
      </c>
      <c r="C52">
        <v>18</v>
      </c>
      <c r="D52" s="13">
        <v>4</v>
      </c>
      <c r="E52">
        <f t="shared" si="1"/>
        <v>8.0000000000000071E-2</v>
      </c>
      <c r="G52">
        <v>407.91776089999996</v>
      </c>
      <c r="H52" t="s">
        <v>68</v>
      </c>
      <c r="I52">
        <f>VLOOKUP(G52,PGA!$P$2:$Q$470,2,TRUE)-(VLOOKUP(K52,PGA!$D$2:$E$5557,2,TRUE))-1</f>
        <v>0.16999999999999993</v>
      </c>
      <c r="J52">
        <v>0</v>
      </c>
      <c r="K52">
        <v>134.5144359</v>
      </c>
      <c r="L52" t="s">
        <v>48</v>
      </c>
      <c r="M52">
        <f>VLOOKUP(K52,PGA!$D$2:$E$555,2,TRUE)-(VLOOKUP(O52,PGA!$G$2:$H$555,2,TRUE))-1</f>
        <v>-0.56000000000000005</v>
      </c>
      <c r="N52">
        <v>14</v>
      </c>
      <c r="O52">
        <v>15.310586199999999</v>
      </c>
      <c r="P52" t="s">
        <v>47</v>
      </c>
      <c r="Q52">
        <f>VLOOKUP(O52,PGA!$G$2:$H$555,2,TRUE)-(VLOOKUP(S52,PGA!$A$2:$B$92,2,TRUE))-1</f>
        <v>0.3400000000000003</v>
      </c>
      <c r="R52">
        <v>0</v>
      </c>
      <c r="S52">
        <v>1.3333333333333333</v>
      </c>
      <c r="T52" t="s">
        <v>50</v>
      </c>
      <c r="U52">
        <f>VLOOKUP(S52,PGA!$A$2:$B$92,2,TRUE)-1</f>
        <v>0.12999999999999989</v>
      </c>
      <c r="V52">
        <v>0</v>
      </c>
    </row>
    <row r="53" spans="1:30" x14ac:dyDescent="0.3">
      <c r="A53" s="3">
        <v>43615.666666666664</v>
      </c>
      <c r="B53" t="s">
        <v>64</v>
      </c>
      <c r="C53">
        <v>17</v>
      </c>
      <c r="D53" s="13">
        <v>5</v>
      </c>
      <c r="E53">
        <f t="shared" si="1"/>
        <v>-0.17999999999999972</v>
      </c>
      <c r="G53">
        <v>550.08748989999992</v>
      </c>
      <c r="H53" t="s">
        <v>68</v>
      </c>
      <c r="I53">
        <f>VLOOKUP(G53,PGA!$P$2:$Q$470,2,TRUE)-(VLOOKUP(K53,PGA!$D$2:$E$5557,2,TRUE))-1</f>
        <v>0.24000000000000021</v>
      </c>
      <c r="J53">
        <v>0</v>
      </c>
      <c r="K53">
        <v>240.59492599999999</v>
      </c>
      <c r="L53" t="s">
        <v>48</v>
      </c>
      <c r="M53">
        <f>VLOOKUP(K53,PGA!$D$2:$E$555,2,TRUE)-(VLOOKUP(O53,PGA!$D$2:$E$5557,2,TRUE))-1</f>
        <v>-0.16999999999999993</v>
      </c>
      <c r="N53">
        <v>0</v>
      </c>
      <c r="O53">
        <v>91.86351719999999</v>
      </c>
      <c r="P53" t="s">
        <v>48</v>
      </c>
      <c r="Q53">
        <f>VLOOKUP(O53,PGA!$D$2:$E$555,2,TRUE)-(VLOOKUP(S53,PGA!$A$2:$B$92,2,TRUE))-1</f>
        <v>-0.18999999999999995</v>
      </c>
      <c r="R53">
        <v>8</v>
      </c>
      <c r="S53">
        <v>8.7489063999999992</v>
      </c>
      <c r="T53" t="s">
        <v>50</v>
      </c>
      <c r="U53">
        <f>VLOOKUP(S53,PGA!$A$2:$B$92,2,TRUE)-(VLOOKUP(W53,PGA!$A$2:$B$92,2,TRUE))-1</f>
        <v>-7.0000000000000062E-2</v>
      </c>
      <c r="V53">
        <v>0</v>
      </c>
      <c r="W53">
        <v>0.33333333333333331</v>
      </c>
      <c r="X53" t="s">
        <v>50</v>
      </c>
      <c r="Y53">
        <f>VLOOKUP(W53,PGA!$A$2:$B$92,2,TRUE)-1</f>
        <v>1.0000000000000009E-2</v>
      </c>
      <c r="Z53">
        <v>0</v>
      </c>
    </row>
    <row r="54" spans="1:30" x14ac:dyDescent="0.3">
      <c r="A54" s="3">
        <v>43615.666666666664</v>
      </c>
      <c r="B54" t="s">
        <v>64</v>
      </c>
      <c r="C54">
        <v>16</v>
      </c>
      <c r="D54" s="13">
        <v>3</v>
      </c>
      <c r="E54">
        <f t="shared" si="1"/>
        <v>0.12000000000000011</v>
      </c>
      <c r="G54">
        <v>185.91426099999998</v>
      </c>
      <c r="H54" t="s">
        <v>68</v>
      </c>
      <c r="I54">
        <f>VLOOKUP(G54,PGA!$P$2:$Q$470,2,TRUE)-(VLOOKUP(K54,PGA!$A$2:$B$92,2,TRUE))-1</f>
        <v>0.32200000000000006</v>
      </c>
      <c r="J54">
        <v>5</v>
      </c>
      <c r="K54">
        <v>5.4680664999999991</v>
      </c>
      <c r="L54" t="s">
        <v>50</v>
      </c>
      <c r="M54">
        <f>VLOOKUP(K54,PGA!$A$2:$B$92,2,TRUE)-(VLOOKUP(O54,PGA!$A$2:$B$92,2,TRUE))-1</f>
        <v>-0.21199999999999997</v>
      </c>
      <c r="N54">
        <v>0</v>
      </c>
      <c r="O54">
        <v>0.33333333333333331</v>
      </c>
      <c r="P54" t="s">
        <v>50</v>
      </c>
      <c r="Q54">
        <f>VLOOKUP(O54,PGA!$A$2:$B$92,2,TRUE)-1</f>
        <v>1.0000000000000009E-2</v>
      </c>
      <c r="R54">
        <v>0</v>
      </c>
    </row>
    <row r="55" spans="1:30" x14ac:dyDescent="0.3">
      <c r="A55" s="3">
        <v>43615.666666666664</v>
      </c>
      <c r="B55" t="s">
        <v>64</v>
      </c>
      <c r="C55">
        <v>15</v>
      </c>
      <c r="D55" s="13">
        <v>4</v>
      </c>
      <c r="E55">
        <f t="shared" si="1"/>
        <v>0.69500000000000028</v>
      </c>
      <c r="G55">
        <v>507.43657119999995</v>
      </c>
      <c r="H55" t="s">
        <v>68</v>
      </c>
      <c r="I55">
        <f>VLOOKUP(G55,PGA!$P$2:$Q$470,2,TRUE)-(VLOOKUP(K55,PGA!$D$2:$E$5557,2,TRUE))-1</f>
        <v>0.24500000000000011</v>
      </c>
      <c r="J55">
        <v>0</v>
      </c>
      <c r="K55">
        <v>235.12685949999997</v>
      </c>
      <c r="L55" t="s">
        <v>48</v>
      </c>
      <c r="M55">
        <f>VLOOKUP(K55,PGA!$D$2:$E$555,2,TRUE)-(VLOOKUP(O55,PGA!$A$2:$B$92,2,TRUE))-1</f>
        <v>0.45400000000000018</v>
      </c>
      <c r="N55">
        <v>10</v>
      </c>
      <c r="O55">
        <v>10.936132999999998</v>
      </c>
      <c r="P55" t="s">
        <v>50</v>
      </c>
      <c r="Q55">
        <f>VLOOKUP(O55,PGA!$A$2:$B$92,2,TRUE)-(VLOOKUP(S55,PGA!$A$2:$B$92,2,TRUE))-1</f>
        <v>-1.4000000000000012E-2</v>
      </c>
      <c r="R55">
        <v>0</v>
      </c>
      <c r="S55">
        <v>0.66666666666666663</v>
      </c>
      <c r="T55" t="s">
        <v>50</v>
      </c>
      <c r="U55">
        <f>VLOOKUP(S55,PGA!$A$2:$B$92,2,TRUE)-1</f>
        <v>1.0000000000000009E-2</v>
      </c>
      <c r="V55">
        <v>0</v>
      </c>
    </row>
    <row r="56" spans="1:30" x14ac:dyDescent="0.3">
      <c r="A56" s="3">
        <v>43615.666666666664</v>
      </c>
      <c r="B56" t="s">
        <v>64</v>
      </c>
      <c r="C56">
        <v>14</v>
      </c>
      <c r="D56" s="13">
        <v>5</v>
      </c>
      <c r="E56">
        <f t="shared" si="1"/>
        <v>-0.98000000000000043</v>
      </c>
      <c r="G56">
        <v>387.13910819999995</v>
      </c>
      <c r="H56" t="s">
        <v>68</v>
      </c>
      <c r="I56">
        <f>VLOOKUP(G56,PGA!$P$2:$Q$470,2,TRUE)-(VLOOKUP(K56,PGA!$G$2:$H$555,2,TRUE))-1</f>
        <v>-0.21000000000000041</v>
      </c>
      <c r="J56">
        <v>0</v>
      </c>
      <c r="K56">
        <v>147.63779549999998</v>
      </c>
      <c r="L56" t="s">
        <v>47</v>
      </c>
      <c r="M56">
        <f>VLOOKUP(K56,PGA!$G$2:$H$555,2,TRUE)-(VLOOKUP(O56,PGA!$G$2:$H$555,2,TRUE))-1</f>
        <v>-0.10999999999999988</v>
      </c>
      <c r="N56">
        <v>12</v>
      </c>
      <c r="O56">
        <v>13.123359599999999</v>
      </c>
      <c r="P56" t="s">
        <v>47</v>
      </c>
      <c r="Q56">
        <f>VLOOKUP(O56,PGA!$G$2:$H$555,2,TRUE)-(VLOOKUP(S56,PGA!$A$2:$B$92,2,TRUE))-1</f>
        <v>-8.0000000000000071E-2</v>
      </c>
      <c r="R56">
        <v>0</v>
      </c>
      <c r="S56">
        <v>2.3333333333333335</v>
      </c>
      <c r="T56" t="s">
        <v>50</v>
      </c>
      <c r="U56">
        <f>VLOOKUP(S56,PGA!$A$2:$B$92,2,TRUE)-(VLOOKUP(W56,PGA!$A$2:$B$92,2,TRUE))-1</f>
        <v>-0.59000000000000008</v>
      </c>
      <c r="V56">
        <v>0</v>
      </c>
      <c r="W56">
        <v>0.33333333333333331</v>
      </c>
      <c r="X56" t="s">
        <v>50</v>
      </c>
      <c r="Y56">
        <f>VLOOKUP(W56,PGA!$A$2:$B$92,2,TRUE)-1</f>
        <v>1.0000000000000009E-2</v>
      </c>
      <c r="Z56">
        <v>0</v>
      </c>
    </row>
    <row r="57" spans="1:30" x14ac:dyDescent="0.3">
      <c r="A57" s="3">
        <v>43615.666666666664</v>
      </c>
      <c r="B57" t="s">
        <v>64</v>
      </c>
      <c r="C57">
        <v>13</v>
      </c>
      <c r="D57" s="13">
        <v>5</v>
      </c>
      <c r="E57">
        <f t="shared" si="1"/>
        <v>-0.91699999999999982</v>
      </c>
      <c r="G57">
        <v>399.16885449999995</v>
      </c>
      <c r="H57" t="s">
        <v>68</v>
      </c>
      <c r="I57">
        <f>VLOOKUP(G57,PGA!$P$2:$Q$470,2,TRUE)-(VLOOKUP(K57,PGA!$D$2:$E$5557,2,TRUE))-1</f>
        <v>3.0000000000001137E-3</v>
      </c>
      <c r="J57">
        <v>0</v>
      </c>
      <c r="K57">
        <v>166.22922159999999</v>
      </c>
      <c r="L57" t="s">
        <v>48</v>
      </c>
      <c r="M57">
        <f>VLOOKUP(K57,PGA!$D$2:$E$555,2,TRUE)-(VLOOKUP(O57,PGA!$G$2:$H$555,2,TRUE))-1</f>
        <v>-0.50999999999999979</v>
      </c>
      <c r="N57">
        <v>18</v>
      </c>
      <c r="O57">
        <v>19.685039399999997</v>
      </c>
      <c r="P57" t="s">
        <v>47</v>
      </c>
      <c r="Q57">
        <f>VLOOKUP(O57,PGA!$G$2:$H$555,2,TRUE)-(VLOOKUP(S57,PGA!$A$2:$B$92,2,TRUE))-1</f>
        <v>0.45999999999999996</v>
      </c>
      <c r="R57">
        <v>0</v>
      </c>
      <c r="S57">
        <v>1.3333333333333333</v>
      </c>
      <c r="T57" t="s">
        <v>50</v>
      </c>
      <c r="U57">
        <f>VLOOKUP(S57,PGA!$A$2:$B$92,2,TRUE)-(VLOOKUP(W57,PGA!$A$2:$B$92,2,TRUE))-1</f>
        <v>-0.88000000000000012</v>
      </c>
      <c r="V57">
        <v>0</v>
      </c>
      <c r="W57">
        <v>0.33333333333333331</v>
      </c>
      <c r="X57" t="s">
        <v>50</v>
      </c>
      <c r="Y57">
        <f>VLOOKUP(W57,PGA!$A$2:$B$92,2,TRUE)-1</f>
        <v>1.0000000000000009E-2</v>
      </c>
      <c r="Z57">
        <v>0</v>
      </c>
    </row>
    <row r="58" spans="1:30" x14ac:dyDescent="0.3">
      <c r="A58" s="3">
        <v>43615.666666666664</v>
      </c>
      <c r="B58" t="s">
        <v>64</v>
      </c>
      <c r="C58">
        <v>12</v>
      </c>
      <c r="D58" s="13">
        <v>5</v>
      </c>
      <c r="E58">
        <f t="shared" si="1"/>
        <v>-0.83000000000000007</v>
      </c>
      <c r="G58">
        <v>426.50918699999994</v>
      </c>
      <c r="H58" t="s">
        <v>68</v>
      </c>
      <c r="I58">
        <f>VLOOKUP(G58,PGA!$P$2:$Q$470,2,TRUE)-(VLOOKUP(K58,PGA!$J$2:$K$555,2,TRUE))-1</f>
        <v>-0.22999999999999998</v>
      </c>
      <c r="J58">
        <v>0</v>
      </c>
      <c r="K58">
        <v>168.41644819999999</v>
      </c>
      <c r="L58" t="s">
        <v>49</v>
      </c>
      <c r="M58">
        <f>VLOOKUP(K58,PGA!$J$2:$DH$555,2,TRUE)-(VLOOKUP(O58,PGA!$D$2:$E$5557,2,TRUE))-1</f>
        <v>-0.58000000000000007</v>
      </c>
      <c r="N58">
        <v>0</v>
      </c>
      <c r="O58">
        <v>153.10586199999997</v>
      </c>
      <c r="P58" t="s">
        <v>48</v>
      </c>
      <c r="Q58">
        <f>VLOOKUP(O58,PGA!$D$2:$E$555,2,TRUE)-(VLOOKUP(S58,PGA!$A$2:$B$92,2,TRUE))-1</f>
        <v>8.6000000000000076E-2</v>
      </c>
      <c r="R58">
        <v>7</v>
      </c>
      <c r="S58">
        <v>7.6552930999999997</v>
      </c>
      <c r="T58" t="s">
        <v>50</v>
      </c>
      <c r="U58">
        <f>VLOOKUP(S58,PGA!$A$2:$B$92,2,TRUE)-(VLOOKUP(W58,PGA!$A$2:$B$92,2,TRUE))-1</f>
        <v>-0.1160000000000001</v>
      </c>
      <c r="V58">
        <v>0</v>
      </c>
      <c r="W58">
        <v>0.33333333333333331</v>
      </c>
      <c r="X58" t="s">
        <v>50</v>
      </c>
      <c r="Y58">
        <f>VLOOKUP(W58,PGA!$A$2:$B$92,2,TRUE)-1</f>
        <v>1.0000000000000009E-2</v>
      </c>
      <c r="Z58">
        <v>0</v>
      </c>
    </row>
    <row r="59" spans="1:30" x14ac:dyDescent="0.3">
      <c r="A59" s="3">
        <v>43615.666666666664</v>
      </c>
      <c r="B59" t="s">
        <v>64</v>
      </c>
      <c r="C59">
        <v>11</v>
      </c>
      <c r="D59" s="13">
        <v>4</v>
      </c>
      <c r="E59">
        <f t="shared" si="1"/>
        <v>-0.87999999999999989</v>
      </c>
      <c r="G59">
        <v>188.10148759999998</v>
      </c>
      <c r="H59" t="s">
        <v>68</v>
      </c>
      <c r="I59">
        <f>VLOOKUP(G59,PGA!$P$2:$Q$470,2,TRUE)-(VLOOKUP(K59,PGA!$J$2:$K$555,2,TRUE))-1</f>
        <v>-0.4099999999999997</v>
      </c>
      <c r="J59">
        <v>19</v>
      </c>
      <c r="K59">
        <v>20.778652699999999</v>
      </c>
      <c r="L59" t="s">
        <v>49</v>
      </c>
      <c r="M59">
        <f>VLOOKUP(K59,PGA!$J$2:$DH$555,2,TRUE)-(VLOOKUP(O59,PGA!$A$2:$B$92,2,TRUE))-1</f>
        <v>0.10999999999999988</v>
      </c>
      <c r="N59">
        <v>0</v>
      </c>
      <c r="O59">
        <v>2.6666666666666665</v>
      </c>
      <c r="P59" t="s">
        <v>50</v>
      </c>
      <c r="Q59">
        <f>VLOOKUP(O59,PGA!$A$2:$B$92,2,TRUE)-(VLOOKUP(S59,PGA!$A$2:$B$92,2,TRUE))-1</f>
        <v>-0.59000000000000008</v>
      </c>
      <c r="R59">
        <v>0</v>
      </c>
      <c r="S59">
        <v>0.33333333333333331</v>
      </c>
      <c r="T59" t="s">
        <v>50</v>
      </c>
      <c r="U59">
        <f>VLOOKUP(S59,PGA!$A$2:$B$92,2,TRUE)-1</f>
        <v>1.0000000000000009E-2</v>
      </c>
      <c r="V59">
        <v>0</v>
      </c>
    </row>
    <row r="60" spans="1:30" x14ac:dyDescent="0.3">
      <c r="A60" s="3">
        <v>43615.666666666664</v>
      </c>
      <c r="B60" t="s">
        <v>64</v>
      </c>
      <c r="C60">
        <v>10</v>
      </c>
      <c r="D60" s="13">
        <v>5</v>
      </c>
      <c r="E60">
        <f t="shared" si="1"/>
        <v>-0.52500000000000036</v>
      </c>
      <c r="G60">
        <v>477.90901209999998</v>
      </c>
      <c r="H60" t="s">
        <v>68</v>
      </c>
      <c r="I60">
        <f>VLOOKUP(G60,PGA!$P$2:$Q$470,2,TRUE)-(VLOOKUP(K60,PGA!$G$2:$H$555,2,TRUE))-1</f>
        <v>-5.500000000000016E-2</v>
      </c>
      <c r="J60">
        <v>0</v>
      </c>
      <c r="K60">
        <v>202.31846049999999</v>
      </c>
      <c r="L60" t="s">
        <v>47</v>
      </c>
      <c r="M60">
        <f>VLOOKUP(K60,PGA!$G$2:$H$555,2,TRUE)-(VLOOKUP(O60,PGA!$G$2:$H$555,2,TRUE))-1</f>
        <v>-6.0000000000000053E-2</v>
      </c>
      <c r="N60">
        <v>20</v>
      </c>
      <c r="O60">
        <v>21.872265999999996</v>
      </c>
      <c r="P60" t="s">
        <v>47</v>
      </c>
      <c r="Q60">
        <f>VLOOKUP(O60,PGA!$G$2:$H$555,2,TRUE)-(VLOOKUP(S60,PGA!$A$2:$B$92,2,TRUE))-1</f>
        <v>0.24999999999999978</v>
      </c>
      <c r="R60">
        <v>0</v>
      </c>
      <c r="S60">
        <v>2.1872265999999998</v>
      </c>
      <c r="T60" t="s">
        <v>50</v>
      </c>
      <c r="U60">
        <f>VLOOKUP(S60,PGA!$A$2:$B$92,2,TRUE)-(VLOOKUP(W60,PGA!$A$2:$B$92,2,TRUE))-1</f>
        <v>-0.66999999999999993</v>
      </c>
      <c r="V60">
        <v>0</v>
      </c>
      <c r="W60">
        <v>0.66666666666666663</v>
      </c>
      <c r="X60" t="s">
        <v>50</v>
      </c>
      <c r="Y60">
        <f>VLOOKUP(W60,PGA!$A$2:$B$92,2,TRUE)-1</f>
        <v>1.0000000000000009E-2</v>
      </c>
      <c r="Z60">
        <v>0</v>
      </c>
    </row>
    <row r="61" spans="1:30" x14ac:dyDescent="0.3">
      <c r="A61" s="3">
        <v>43615.666666666664</v>
      </c>
      <c r="B61" t="s">
        <v>64</v>
      </c>
      <c r="C61">
        <v>9</v>
      </c>
      <c r="D61" s="13">
        <v>6</v>
      </c>
      <c r="E61">
        <f t="shared" si="1"/>
        <v>-1.21</v>
      </c>
      <c r="G61">
        <v>530.40245049999999</v>
      </c>
      <c r="H61" t="s">
        <v>68</v>
      </c>
      <c r="I61">
        <f>VLOOKUP(G61,PGA!$P$2:$Q$470,2,TRUE)-(VLOOKUP(K61,PGA!$D$2:$E$5557,2,TRUE))-1</f>
        <v>-0.32000000000000028</v>
      </c>
      <c r="J61">
        <v>0</v>
      </c>
      <c r="K61">
        <v>377.29658849999998</v>
      </c>
      <c r="L61" t="s">
        <v>48</v>
      </c>
      <c r="M61">
        <f>VLOOKUP(K61,PGA!$D$2:$E$555,2,TRUE)-(VLOOKUP(O61,PGA!$D$2:$E$5557,2,TRUE))-1</f>
        <v>0.3100000000000005</v>
      </c>
      <c r="N61">
        <v>0</v>
      </c>
      <c r="O61">
        <v>109.36133</v>
      </c>
      <c r="P61" t="s">
        <v>48</v>
      </c>
      <c r="Q61">
        <f>VLOOKUP(O61,PGA!$D$2:$E$555,2,TRUE)-(VLOOKUP(S61,PGA!$D$2:$E$5557,2,TRUE))-1</f>
        <v>-0.80000000000000027</v>
      </c>
      <c r="R61">
        <v>0</v>
      </c>
      <c r="S61">
        <v>43.744531999999992</v>
      </c>
      <c r="T61" t="s">
        <v>48</v>
      </c>
      <c r="U61">
        <f>VLOOKUP(S61,PGA!$D$2:$E$555,2,TRUE)-(VLOOKUP(W61,PGA!$D$2:$E$5557,2,TRUE))-1</f>
        <v>-0.79999999999999982</v>
      </c>
      <c r="V61">
        <v>0</v>
      </c>
      <c r="W61">
        <v>21.872265999999996</v>
      </c>
      <c r="X61" t="s">
        <v>48</v>
      </c>
      <c r="Y61">
        <f>VLOOKUP(W61,PGA!$D$2:$E$555,2,TRUE)-(VLOOKUP(AA61,PGA!$A$2:$B$92,2,TRUE))-1</f>
        <v>0.3899999999999999</v>
      </c>
      <c r="Z61">
        <v>0</v>
      </c>
      <c r="AA61">
        <v>0.66666666666666663</v>
      </c>
      <c r="AB61" t="s">
        <v>50</v>
      </c>
      <c r="AC61">
        <f>VLOOKUP(AA61,PGA!$A$2:$B$92,2,TRUE)-1</f>
        <v>1.0000000000000009E-2</v>
      </c>
      <c r="AD61">
        <v>0</v>
      </c>
    </row>
    <row r="62" spans="1:30" x14ac:dyDescent="0.3">
      <c r="A62" s="3">
        <v>43615.666666666664</v>
      </c>
      <c r="B62" t="s">
        <v>64</v>
      </c>
      <c r="C62">
        <v>8</v>
      </c>
      <c r="D62" s="13">
        <v>4</v>
      </c>
      <c r="E62">
        <f t="shared" si="1"/>
        <v>-0.95000000000000018</v>
      </c>
      <c r="G62">
        <v>168.41644819999999</v>
      </c>
      <c r="H62" t="s">
        <v>68</v>
      </c>
      <c r="I62">
        <f>VLOOKUP(G62,PGA!$P$2:$Q$470,2,TRUE)-(VLOOKUP(K62,PGA!$A$2:$B$92,2,TRUE))-1</f>
        <v>-0.12000000000000011</v>
      </c>
      <c r="J62">
        <v>17</v>
      </c>
      <c r="K62">
        <v>18.5914261</v>
      </c>
      <c r="L62" t="s">
        <v>50</v>
      </c>
      <c r="M62">
        <f>VLOOKUP(K62,PGA!$A$2:$B$92,2,TRUE)-(VLOOKUP(O62,PGA!$A$2:$B$92,2,TRUE))-1</f>
        <v>4.0000000000000036E-2</v>
      </c>
      <c r="N62">
        <v>0</v>
      </c>
      <c r="O62">
        <v>1.3333333333333333</v>
      </c>
      <c r="P62" t="s">
        <v>50</v>
      </c>
      <c r="Q62">
        <f>VLOOKUP(O62,PGA!$A$2:$B$92,2,TRUE)-(VLOOKUP(S62,PGA!$A$2:$B$92,2,TRUE))-1</f>
        <v>-0.88000000000000012</v>
      </c>
      <c r="R62">
        <v>0</v>
      </c>
      <c r="S62">
        <v>0.33333333333333331</v>
      </c>
      <c r="T62" t="s">
        <v>50</v>
      </c>
      <c r="U62">
        <f>VLOOKUP(S62,PGA!$A$2:$B$92,2,TRUE)-1</f>
        <v>1.0000000000000009E-2</v>
      </c>
      <c r="V62">
        <v>0</v>
      </c>
    </row>
    <row r="63" spans="1:30" x14ac:dyDescent="0.3">
      <c r="A63" s="3">
        <v>43615.666666666664</v>
      </c>
      <c r="B63" t="s">
        <v>64</v>
      </c>
      <c r="C63">
        <v>7</v>
      </c>
      <c r="D63" s="13">
        <v>4</v>
      </c>
      <c r="E63">
        <f t="shared" si="1"/>
        <v>0.41000000000000014</v>
      </c>
      <c r="G63">
        <v>460.41119929999996</v>
      </c>
      <c r="H63" t="s">
        <v>68</v>
      </c>
      <c r="I63">
        <f>VLOOKUP(G63,PGA!$P$2:$Q$470,2,TRUE)-(VLOOKUP(K63,PGA!$D$2:$E$5557,2,TRUE))-1</f>
        <v>0.2200000000000002</v>
      </c>
      <c r="J63">
        <v>0</v>
      </c>
      <c r="K63">
        <v>190.28871419999999</v>
      </c>
      <c r="L63" t="s">
        <v>48</v>
      </c>
      <c r="M63">
        <f>VLOOKUP(K63,PGA!$D$2:$E$555,2,TRUE)-(VLOOKUP(O63,PGA!$A$2:$B$92,2,TRUE))-1</f>
        <v>0.33799999999999986</v>
      </c>
      <c r="N63">
        <v>6</v>
      </c>
      <c r="O63">
        <v>6.5616797999999994</v>
      </c>
      <c r="P63" t="s">
        <v>50</v>
      </c>
      <c r="Q63">
        <f>VLOOKUP(O63,PGA!$A$2:$B$92,2,TRUE)-(VLOOKUP(S63,PGA!$A$2:$B$92,2,TRUE))-1</f>
        <v>-0.15799999999999992</v>
      </c>
      <c r="R63">
        <v>0</v>
      </c>
      <c r="S63">
        <v>0.33333333333333331</v>
      </c>
      <c r="T63" t="s">
        <v>50</v>
      </c>
      <c r="U63">
        <f>VLOOKUP(S63,PGA!$A$2:$B$92,2,TRUE)-1</f>
        <v>1.0000000000000009E-2</v>
      </c>
      <c r="V63">
        <v>0</v>
      </c>
    </row>
    <row r="64" spans="1:30" x14ac:dyDescent="0.3">
      <c r="A64" s="3">
        <v>43615.666666666664</v>
      </c>
      <c r="B64" t="s">
        <v>64</v>
      </c>
      <c r="C64">
        <v>6</v>
      </c>
      <c r="D64" s="13">
        <v>5</v>
      </c>
      <c r="E64">
        <f t="shared" si="1"/>
        <v>-0.99500000000000011</v>
      </c>
      <c r="G64">
        <v>377.29658849999998</v>
      </c>
      <c r="H64" t="s">
        <v>68</v>
      </c>
      <c r="I64">
        <f>VLOOKUP(G64,PGA!$P$2:$Q$470,2,TRUE)-(VLOOKUP(K64,PGA!$D$2:$E$5557,2,TRUE))-1</f>
        <v>2.4999999999999911E-2</v>
      </c>
      <c r="J64">
        <v>0</v>
      </c>
      <c r="K64">
        <v>157.48031519999998</v>
      </c>
      <c r="L64" t="s">
        <v>48</v>
      </c>
      <c r="M64">
        <f>VLOOKUP(K64,PGA!$D$2:$E$555,2,TRUE)-(VLOOKUP(O64,PGA!$A$2:$B$92,2,TRUE))-1</f>
        <v>-0.24400000000000022</v>
      </c>
      <c r="N64">
        <v>19</v>
      </c>
      <c r="O64">
        <v>20.778652699999999</v>
      </c>
      <c r="P64" t="s">
        <v>50</v>
      </c>
      <c r="Q64">
        <f>VLOOKUP(O64,PGA!$A$2:$B$92,2,TRUE)-(VLOOKUP(S64,PGA!$A$2:$B$92,2,TRUE))-1</f>
        <v>-0.48799999999999977</v>
      </c>
      <c r="R64">
        <v>0</v>
      </c>
      <c r="S64">
        <v>4.3744531999999996</v>
      </c>
      <c r="T64" t="s">
        <v>50</v>
      </c>
      <c r="U64">
        <f>VLOOKUP(S64,PGA!$A$2:$B$92,2,TRUE)-(VLOOKUP(W64,PGA!$A$2:$B$92,2,TRUE))-1</f>
        <v>-0.29800000000000004</v>
      </c>
      <c r="V64">
        <v>0</v>
      </c>
      <c r="W64">
        <v>0.33333333333333331</v>
      </c>
      <c r="X64" t="s">
        <v>50</v>
      </c>
      <c r="Y64">
        <f>VLOOKUP(W64,PGA!$A$2:$B$92,2,TRUE)-1</f>
        <v>1.0000000000000009E-2</v>
      </c>
      <c r="Z64">
        <v>0</v>
      </c>
    </row>
    <row r="65" spans="1:34" x14ac:dyDescent="0.3">
      <c r="A65" s="3">
        <v>43615.666666666664</v>
      </c>
      <c r="B65" t="s">
        <v>64</v>
      </c>
      <c r="C65">
        <v>5</v>
      </c>
      <c r="D65" s="13">
        <v>4</v>
      </c>
      <c r="E65">
        <f t="shared" si="1"/>
        <v>-8.0000000000000071E-2</v>
      </c>
      <c r="G65">
        <v>334.64566979999995</v>
      </c>
      <c r="H65" t="s">
        <v>68</v>
      </c>
      <c r="I65">
        <f>VLOOKUP(G65,PGA!$P$2:$Q$470,2,TRUE)-(VLOOKUP(K65,PGA!$D$2:$E$5557,2,TRUE))-1</f>
        <v>6.999999999999984E-2</v>
      </c>
      <c r="J65">
        <v>0</v>
      </c>
      <c r="K65">
        <v>119.20384969999999</v>
      </c>
      <c r="L65" t="s">
        <v>48</v>
      </c>
      <c r="M65">
        <f>VLOOKUP(K65,PGA!$D$2:$E$555,2,TRUE)-(VLOOKUP(O65,PGA!$D$2:$E$5557,2,TRUE))-1</f>
        <v>-0.33000000000000007</v>
      </c>
      <c r="N65">
        <v>12</v>
      </c>
      <c r="O65">
        <v>13.123359599999999</v>
      </c>
      <c r="P65" t="s">
        <v>48</v>
      </c>
      <c r="Q65">
        <f>VLOOKUP(O65,PGA!$D$2:$E$555,2,TRUE)-(VLOOKUP(S65,PGA!$A$2:$B$92,2,TRUE))-1</f>
        <v>-0.23999999999999977</v>
      </c>
      <c r="R65">
        <v>0</v>
      </c>
      <c r="S65">
        <v>2.6666666666666665</v>
      </c>
      <c r="T65" t="s">
        <v>50</v>
      </c>
      <c r="U65">
        <f>VLOOKUP(S65,PGA!$A$2:$B$92,2,TRUE)-1</f>
        <v>0.41999999999999993</v>
      </c>
      <c r="V65">
        <v>0</v>
      </c>
    </row>
    <row r="66" spans="1:34" x14ac:dyDescent="0.3">
      <c r="A66" s="3">
        <v>43615.666666666664</v>
      </c>
      <c r="B66" t="s">
        <v>64</v>
      </c>
      <c r="C66">
        <v>4</v>
      </c>
      <c r="D66" s="13">
        <v>5</v>
      </c>
      <c r="E66">
        <f t="shared" ref="E66:E97" si="2">SUM(I66,M66,Q66,U66,Y66,AC66,AG66,AK66,AO66,BA66,AW66,AS66,BE66)</f>
        <v>-0.17999999999999972</v>
      </c>
      <c r="G66">
        <v>577.42782239999997</v>
      </c>
      <c r="H66" t="s">
        <v>68</v>
      </c>
      <c r="I66">
        <f>VLOOKUP(G66,PGA!$P$2:$Q$470,2,TRUE)-(VLOOKUP(K66,PGA!$D$2:$E$5557,2,TRUE))-1</f>
        <v>4.000000000000048E-2</v>
      </c>
      <c r="J66">
        <v>0</v>
      </c>
      <c r="K66">
        <v>275.59055159999997</v>
      </c>
      <c r="L66" t="s">
        <v>48</v>
      </c>
      <c r="M66">
        <f>VLOOKUP(K66,PGA!$D$2:$E$555,2,TRUE)-(VLOOKUP(O66,PGA!$G$2:$H$555,2,TRUE))-1</f>
        <v>0</v>
      </c>
      <c r="N66">
        <v>0</v>
      </c>
      <c r="O66">
        <v>43.744531999999992</v>
      </c>
      <c r="P66" t="s">
        <v>47</v>
      </c>
      <c r="Q66">
        <f>VLOOKUP(O66,PGA!$G$2:$H$555,2,TRUE)-(VLOOKUP(S66,PGA!$G$2:$H$555,2,TRUE))-1</f>
        <v>-0.81</v>
      </c>
      <c r="R66">
        <v>0</v>
      </c>
      <c r="S66">
        <v>19.685039399999997</v>
      </c>
      <c r="T66" t="s">
        <v>47</v>
      </c>
      <c r="U66">
        <f>VLOOKUP(S66,PGA!$G$2:$H$555,2,TRUE)-(VLOOKUP(W66,PGA!$D$2:$E$5557,2,TRUE))-1</f>
        <v>-0.43999999999999995</v>
      </c>
      <c r="V66">
        <v>0</v>
      </c>
      <c r="W66">
        <v>8.7489063999999992</v>
      </c>
      <c r="X66" t="s">
        <v>48</v>
      </c>
      <c r="Y66">
        <f>VLOOKUP(W66,PGA!$D$2:$E$555,2,TRUE)-1</f>
        <v>1.0299999999999998</v>
      </c>
      <c r="Z66">
        <v>0</v>
      </c>
    </row>
    <row r="67" spans="1:34" x14ac:dyDescent="0.3">
      <c r="A67" s="3">
        <v>43615.666666666664</v>
      </c>
      <c r="B67" t="s">
        <v>64</v>
      </c>
      <c r="C67">
        <v>3</v>
      </c>
      <c r="D67" s="13">
        <v>4</v>
      </c>
      <c r="E67">
        <f t="shared" si="2"/>
        <v>-0.79</v>
      </c>
      <c r="G67">
        <v>220.90988659999999</v>
      </c>
      <c r="H67" t="s">
        <v>68</v>
      </c>
      <c r="I67">
        <f>VLOOKUP(G67,PGA!$P$2:$Q$470,2,TRUE)-(VLOOKUP(K67,PGA!$D$2:$E$5557,2,TRUE))-1</f>
        <v>-0.18999999999999995</v>
      </c>
      <c r="J67">
        <v>17</v>
      </c>
      <c r="K67">
        <v>18.5914261</v>
      </c>
      <c r="L67" t="s">
        <v>48</v>
      </c>
      <c r="M67">
        <f>VLOOKUP(K67,PGA!$D$2:$E$555,2,TRUE)-(VLOOKUP(O67,PGA!$A$2:$B$92,2,TRUE))-1</f>
        <v>-0.57000000000000006</v>
      </c>
      <c r="N67">
        <v>0</v>
      </c>
      <c r="O67">
        <v>9.8425196999999987</v>
      </c>
      <c r="P67" t="s">
        <v>50</v>
      </c>
      <c r="Q67">
        <f>VLOOKUP(O67,PGA!$A$2:$B$92,2,TRUE)-(VLOOKUP(S67,PGA!$A$2:$B$92,2,TRUE))-1</f>
        <v>-4.0000000000000036E-2</v>
      </c>
      <c r="R67">
        <v>0</v>
      </c>
      <c r="S67">
        <v>0.33333333333333331</v>
      </c>
      <c r="T67" t="s">
        <v>50</v>
      </c>
      <c r="U67">
        <f>VLOOKUP(S67,PGA!$A$2:$B$92,2,TRUE)-1</f>
        <v>1.0000000000000009E-2</v>
      </c>
      <c r="V67">
        <v>0</v>
      </c>
    </row>
    <row r="68" spans="1:34" x14ac:dyDescent="0.3">
      <c r="A68" s="3">
        <v>43615.666666666664</v>
      </c>
      <c r="B68" t="s">
        <v>64</v>
      </c>
      <c r="C68">
        <v>2</v>
      </c>
      <c r="D68" s="13">
        <v>4</v>
      </c>
      <c r="E68">
        <f t="shared" si="2"/>
        <v>-0.18900000000000006</v>
      </c>
      <c r="G68">
        <v>300.74365749999998</v>
      </c>
      <c r="H68" t="s">
        <v>68</v>
      </c>
      <c r="I68">
        <f>VLOOKUP(G68,PGA!$P$2:$Q$470,2,TRUE)-(VLOOKUP(K68,PGA!$A$2:$B$92,2,TRUE))-1</f>
        <v>0.84099999999999997</v>
      </c>
      <c r="J68">
        <v>0</v>
      </c>
      <c r="K68">
        <v>9.8425196999999987</v>
      </c>
      <c r="L68" t="s">
        <v>50</v>
      </c>
      <c r="M68">
        <f>VLOOKUP(K68,PGA!$A$2:$B$92,2,TRUE)-(VLOOKUP(O68,PGA!$A$2:$B$92,2,TRUE))-1</f>
        <v>-0.37000000000000011</v>
      </c>
      <c r="N68">
        <v>0</v>
      </c>
      <c r="O68">
        <v>2.1872265999999998</v>
      </c>
      <c r="P68" t="s">
        <v>50</v>
      </c>
      <c r="Q68">
        <f>VLOOKUP(O68,PGA!$A$2:$B$92,2,TRUE)-(VLOOKUP(S68,PGA!$A$2:$B$92,2,TRUE))-1</f>
        <v>-0.66999999999999993</v>
      </c>
      <c r="R68">
        <v>0</v>
      </c>
      <c r="S68">
        <v>0.33333333333333331</v>
      </c>
      <c r="T68" t="s">
        <v>50</v>
      </c>
      <c r="U68">
        <f>VLOOKUP(S68,PGA!$A$2:$B$92,2,TRUE)-1</f>
        <v>1.0000000000000009E-2</v>
      </c>
      <c r="V68">
        <v>0</v>
      </c>
    </row>
    <row r="69" spans="1:34" x14ac:dyDescent="0.3">
      <c r="A69" s="3">
        <v>43615.666666666664</v>
      </c>
      <c r="B69" t="s">
        <v>64</v>
      </c>
      <c r="C69">
        <v>1</v>
      </c>
      <c r="D69" s="13">
        <v>4</v>
      </c>
      <c r="E69">
        <f t="shared" si="2"/>
        <v>8.0000000000000071E-2</v>
      </c>
      <c r="G69">
        <v>419.94750719999996</v>
      </c>
      <c r="H69" t="s">
        <v>68</v>
      </c>
      <c r="I69">
        <f>VLOOKUP(G69,PGA!$P$2:$Q$470,2,TRUE)-(VLOOKUP(K69,PGA!$D$2:$E$5557,2,TRUE))-1</f>
        <v>0</v>
      </c>
      <c r="J69">
        <v>0</v>
      </c>
      <c r="K69">
        <v>168.41644819999999</v>
      </c>
      <c r="L69" t="s">
        <v>48</v>
      </c>
      <c r="M69">
        <f>VLOOKUP(K69,PGA!$D$2:$E$555,2,TRUE)-(VLOOKUP(O69,PGA!$A$2:$B$92,2,TRUE))-1</f>
        <v>0.47</v>
      </c>
      <c r="N69">
        <v>3</v>
      </c>
      <c r="O69">
        <v>3.6666666666666665</v>
      </c>
      <c r="P69" t="s">
        <v>50</v>
      </c>
      <c r="Q69">
        <f>VLOOKUP(O69,PGA!$A$2:$B$92,2,TRUE)-(VLOOKUP(S69,PGA!$A$2:$B$92,2,TRUE))-1</f>
        <v>-0.42999999999999994</v>
      </c>
      <c r="R69">
        <v>0</v>
      </c>
      <c r="S69">
        <v>1</v>
      </c>
      <c r="T69" t="s">
        <v>50</v>
      </c>
      <c r="U69">
        <f>VLOOKUP(S69,PGA!$A$2:$B$92,2,TRUE)-1</f>
        <v>4.0000000000000036E-2</v>
      </c>
      <c r="V69">
        <v>0</v>
      </c>
    </row>
    <row r="70" spans="1:34" x14ac:dyDescent="0.3">
      <c r="A70" s="3">
        <v>43610.5</v>
      </c>
      <c r="B70" t="s">
        <v>63</v>
      </c>
      <c r="C70">
        <v>18</v>
      </c>
      <c r="D70" s="13">
        <v>5</v>
      </c>
      <c r="E70">
        <f t="shared" si="2"/>
        <v>-0.17999999999999972</v>
      </c>
      <c r="G70">
        <v>566.49168939999993</v>
      </c>
      <c r="H70" t="s">
        <v>68</v>
      </c>
      <c r="I70">
        <f>VLOOKUP(G70,PGA!$P$2:$Q$470,2,TRUE)-(VLOOKUP(K70,PGA!$D$2:$E$5557,2,TRUE))-1</f>
        <v>0.13000000000000034</v>
      </c>
      <c r="J70">
        <v>0</v>
      </c>
      <c r="K70">
        <v>258.09273879999995</v>
      </c>
      <c r="L70" t="s">
        <v>48</v>
      </c>
      <c r="M70">
        <f>VLOOKUP(K70,PGA!$D$2:$E$555,2,TRUE)-(VLOOKUP(O70,PGA!$G$2:$H$555,2,TRUE))-1</f>
        <v>-8.9999999999999858E-2</v>
      </c>
      <c r="N70">
        <v>36</v>
      </c>
      <c r="O70">
        <v>40.463692099999996</v>
      </c>
      <c r="P70" t="s">
        <v>47</v>
      </c>
      <c r="Q70">
        <f>VLOOKUP(O70,PGA!$G$2:$H$555,2,TRUE)-(VLOOKUP(S70,PGA!$A$2:$B$92,2,TRUE))-1</f>
        <v>-0.16000000000000014</v>
      </c>
      <c r="R70">
        <v>8</v>
      </c>
      <c r="S70">
        <v>8.7489063999999992</v>
      </c>
      <c r="T70" t="s">
        <v>50</v>
      </c>
      <c r="U70">
        <f>VLOOKUP(S70,PGA!$A$2:$B$92,2,TRUE)-(VLOOKUP(W70,PGA!$A$2:$B$92,2,TRUE))-1</f>
        <v>-7.0000000000000062E-2</v>
      </c>
      <c r="V70">
        <v>0</v>
      </c>
      <c r="W70">
        <v>0.66666666666666663</v>
      </c>
      <c r="X70" t="s">
        <v>50</v>
      </c>
      <c r="Y70">
        <f>VLOOKUP(W70,PGA!$A$2:$B$92,2,TRUE)-1</f>
        <v>1.0000000000000009E-2</v>
      </c>
      <c r="Z70">
        <v>0</v>
      </c>
    </row>
    <row r="71" spans="1:34" x14ac:dyDescent="0.3">
      <c r="A71" s="3">
        <v>43610.5</v>
      </c>
      <c r="B71" t="s">
        <v>63</v>
      </c>
      <c r="C71">
        <v>17</v>
      </c>
      <c r="D71" s="13">
        <v>3</v>
      </c>
      <c r="E71">
        <f t="shared" si="2"/>
        <v>8.4999999999999964E-2</v>
      </c>
      <c r="G71">
        <v>174.97812799999997</v>
      </c>
      <c r="H71" t="s">
        <v>68</v>
      </c>
      <c r="I71">
        <f>VLOOKUP(G71,PGA!$P$2:$Q$470,2,TRUE)-(VLOOKUP(K71,PGA!$G$2:$H$555,2,TRUE))-1</f>
        <v>-0.50499999999999989</v>
      </c>
      <c r="J71">
        <v>25</v>
      </c>
      <c r="K71">
        <v>27.340332499999999</v>
      </c>
      <c r="L71" t="s">
        <v>47</v>
      </c>
      <c r="M71">
        <f>VLOOKUP(K71,PGA!$G$2:$H$555,2,TRUE)-(VLOOKUP(O71,PGA!$A$2:$B$92,2,TRUE))-1</f>
        <v>0.45999999999999996</v>
      </c>
      <c r="N71">
        <v>0</v>
      </c>
      <c r="O71">
        <v>1.3333333333333333</v>
      </c>
      <c r="P71" t="s">
        <v>50</v>
      </c>
      <c r="Q71">
        <f>VLOOKUP(O71,PGA!$A$2:$B$92,2,TRUE)-1</f>
        <v>0.12999999999999989</v>
      </c>
      <c r="R71">
        <v>0</v>
      </c>
    </row>
    <row r="72" spans="1:34" x14ac:dyDescent="0.3">
      <c r="A72" s="3">
        <v>43610.5</v>
      </c>
      <c r="B72" t="s">
        <v>63</v>
      </c>
      <c r="C72">
        <v>16</v>
      </c>
      <c r="D72" s="13">
        <v>3</v>
      </c>
      <c r="E72">
        <f t="shared" si="2"/>
        <v>0.89000000000000012</v>
      </c>
      <c r="G72">
        <v>322.61592349999995</v>
      </c>
      <c r="H72" t="s">
        <v>68</v>
      </c>
      <c r="I72">
        <f>VLOOKUP(G72,PGA!$P$2:$Q$470,2,TRUE)-(VLOOKUP(K72,PGA!$G$2:$H$555,2,TRUE))-1</f>
        <v>0.30000000000000027</v>
      </c>
      <c r="J72">
        <v>0</v>
      </c>
      <c r="K72">
        <v>34.995625599999997</v>
      </c>
      <c r="L72" t="s">
        <v>47</v>
      </c>
      <c r="M72">
        <f>VLOOKUP(K72,PGA!$G$2:$H$555,2,TRUE)-(VLOOKUP(O72,PGA!$A$2:$B$92,2,TRUE))-1</f>
        <v>-0.20800000000000018</v>
      </c>
      <c r="N72">
        <v>0</v>
      </c>
      <c r="O72">
        <v>5.4680664999999991</v>
      </c>
      <c r="P72" t="s">
        <v>50</v>
      </c>
      <c r="Q72">
        <f>VLOOKUP(O72,PGA!$A$2:$B$92,2,TRUE)-1</f>
        <v>0.79800000000000004</v>
      </c>
      <c r="R72">
        <v>0</v>
      </c>
    </row>
    <row r="73" spans="1:34" x14ac:dyDescent="0.3">
      <c r="A73" s="3">
        <v>43610.5</v>
      </c>
      <c r="B73" t="s">
        <v>63</v>
      </c>
      <c r="C73">
        <v>15</v>
      </c>
      <c r="D73" s="13">
        <v>4</v>
      </c>
      <c r="E73">
        <f t="shared" si="2"/>
        <v>-6.0000000000000053E-2</v>
      </c>
      <c r="G73">
        <v>344.48818949999998</v>
      </c>
      <c r="H73" t="s">
        <v>68</v>
      </c>
      <c r="I73">
        <f>VLOOKUP(G73,PGA!$P$2:$Q$470,2,TRUE)-(VLOOKUP(K73,PGA!$D$2:$E$5557,2,TRUE))-1</f>
        <v>8.9999999999999858E-2</v>
      </c>
      <c r="J73">
        <v>0</v>
      </c>
      <c r="K73">
        <v>118.11023639999999</v>
      </c>
      <c r="L73" t="s">
        <v>48</v>
      </c>
      <c r="M73">
        <f>VLOOKUP(K73,PGA!$D$2:$E$555,2,TRUE)-(VLOOKUP(O73,PGA!$G$2:$H$555,2,TRUE))-1</f>
        <v>-0.62000000000000011</v>
      </c>
      <c r="N73">
        <v>14</v>
      </c>
      <c r="O73">
        <v>15.310586199999999</v>
      </c>
      <c r="P73" t="s">
        <v>47</v>
      </c>
      <c r="Q73">
        <f>VLOOKUP(O73,PGA!$G$2:$H$555,2,TRUE)-(VLOOKUP(S73,PGA!$A$2:$B$92,2,TRUE))-1</f>
        <v>0.43000000000000016</v>
      </c>
      <c r="R73">
        <v>0</v>
      </c>
      <c r="S73">
        <v>1</v>
      </c>
      <c r="T73" t="s">
        <v>50</v>
      </c>
      <c r="U73">
        <f>VLOOKUP(S73,PGA!$A$2:$B$92,2,TRUE)-1</f>
        <v>4.0000000000000036E-2</v>
      </c>
      <c r="V73">
        <v>0</v>
      </c>
    </row>
    <row r="74" spans="1:34" x14ac:dyDescent="0.3">
      <c r="A74" s="3">
        <v>43610.5</v>
      </c>
      <c r="B74" t="s">
        <v>63</v>
      </c>
      <c r="C74">
        <v>14</v>
      </c>
      <c r="D74" s="13">
        <v>3</v>
      </c>
      <c r="E74">
        <f t="shared" si="2"/>
        <v>4.9999999999999822E-2</v>
      </c>
      <c r="G74">
        <v>170.60367479999999</v>
      </c>
      <c r="H74" t="s">
        <v>68</v>
      </c>
      <c r="I74">
        <f>VLOOKUP(G74,PGA!$P$2:$Q$470,2,TRUE)-(VLOOKUP(K74,PGA!$D$2:$E$5557,2,TRUE))-1</f>
        <v>-0.35000000000000009</v>
      </c>
      <c r="J74">
        <v>20</v>
      </c>
      <c r="K74">
        <v>21.872265999999996</v>
      </c>
      <c r="L74" t="s">
        <v>48</v>
      </c>
      <c r="M74">
        <f>VLOOKUP(K74,PGA!$D$2:$E$555,2,TRUE)-(VLOOKUP(O74,PGA!$A$2:$B$92,2,TRUE))-1</f>
        <v>0.27</v>
      </c>
      <c r="N74">
        <v>0</v>
      </c>
      <c r="O74">
        <v>1.6666666666666667</v>
      </c>
      <c r="P74" t="s">
        <v>50</v>
      </c>
      <c r="Q74">
        <f>VLOOKUP(O74,PGA!$A$2:$B$92,2,TRUE)-1</f>
        <v>0.12999999999999989</v>
      </c>
      <c r="R74">
        <v>0</v>
      </c>
    </row>
    <row r="75" spans="1:34" x14ac:dyDescent="0.3">
      <c r="A75" s="3">
        <v>43610.5</v>
      </c>
      <c r="B75" t="s">
        <v>63</v>
      </c>
      <c r="C75">
        <v>13</v>
      </c>
      <c r="D75" s="13">
        <v>5</v>
      </c>
      <c r="E75">
        <f t="shared" si="2"/>
        <v>-0.91999999999999993</v>
      </c>
      <c r="G75">
        <v>402.44969439999994</v>
      </c>
      <c r="H75" t="s">
        <v>68</v>
      </c>
      <c r="I75">
        <f>VLOOKUP(G75,PGA!$P$2:$Q$470,2,TRUE)-(VLOOKUP(K75,PGA!$D$2:$E$5557,2,TRUE))-1</f>
        <v>0</v>
      </c>
      <c r="J75">
        <v>0</v>
      </c>
      <c r="K75">
        <v>181.53980779999998</v>
      </c>
      <c r="L75" t="s">
        <v>48</v>
      </c>
      <c r="M75">
        <f>VLOOKUP(K75,PGA!$D$2:$E$555,2,TRUE)-(VLOOKUP(O75,PGA!$G$2:$H$555,2,TRUE))-1</f>
        <v>-0.25999999999999979</v>
      </c>
      <c r="N75">
        <v>12</v>
      </c>
      <c r="O75">
        <v>13.123359599999999</v>
      </c>
      <c r="P75" t="s">
        <v>47</v>
      </c>
      <c r="Q75">
        <f>VLOOKUP(O75,PGA!$G$2:$H$555,2,TRUE)-(VLOOKUP(S75,PGA!$A$2:$B$92,2,TRUE))-1</f>
        <v>-8.0000000000000071E-2</v>
      </c>
      <c r="R75">
        <v>0</v>
      </c>
      <c r="S75">
        <v>2.6666666666666665</v>
      </c>
      <c r="T75" t="s">
        <v>50</v>
      </c>
      <c r="U75">
        <f>VLOOKUP(S75,PGA!$A$2:$B$92,2,TRUE)-(VLOOKUP(W75,PGA!$A$2:$B$92,2,TRUE))-1</f>
        <v>-0.59000000000000008</v>
      </c>
      <c r="V75">
        <v>0</v>
      </c>
      <c r="W75">
        <v>0.33333333333333331</v>
      </c>
      <c r="X75" t="s">
        <v>50</v>
      </c>
      <c r="Y75">
        <f>VLOOKUP(W75,PGA!$A$2:$B$92,2,TRUE)-1</f>
        <v>1.0000000000000009E-2</v>
      </c>
      <c r="Z75">
        <v>0</v>
      </c>
    </row>
    <row r="76" spans="1:34" x14ac:dyDescent="0.3">
      <c r="A76" s="3">
        <v>43610.5</v>
      </c>
      <c r="B76" t="s">
        <v>63</v>
      </c>
      <c r="C76">
        <v>12</v>
      </c>
      <c r="D76" s="13">
        <v>7</v>
      </c>
      <c r="E76">
        <f t="shared" si="2"/>
        <v>-2.1799999999999997</v>
      </c>
      <c r="G76">
        <v>575.24059579999994</v>
      </c>
      <c r="H76" t="s">
        <v>68</v>
      </c>
      <c r="I76">
        <f>VLOOKUP(G76,PGA!$P$2:$Q$470,2,TRUE)-(VLOOKUP(K76,PGA!$M$2:$N$555,2,TRUE))-1</f>
        <v>-0.62000000000000011</v>
      </c>
      <c r="J76">
        <v>0</v>
      </c>
      <c r="K76">
        <v>328.08398999999997</v>
      </c>
      <c r="L76" t="s">
        <v>60</v>
      </c>
      <c r="M76">
        <f>VLOOKUP(K76,PGA!$M$2:$EL$555,2,TRUE)-(VLOOKUP(O76,PGA!$M$2:$N$555,2,TRUE))-1</f>
        <v>-1</v>
      </c>
      <c r="N76">
        <v>0</v>
      </c>
      <c r="O76">
        <v>328.08398999999997</v>
      </c>
      <c r="P76" t="s">
        <v>60</v>
      </c>
      <c r="Q76">
        <f>VLOOKUP(O76,PGA!$M$2:$EL$555,2,TRUE)-(VLOOKUP(S76,PGA!$G$2:$H$555,2,TRUE))-1</f>
        <v>-0.57999999999999918</v>
      </c>
      <c r="R76">
        <v>0</v>
      </c>
      <c r="S76">
        <v>328.08398999999997</v>
      </c>
      <c r="T76" t="s">
        <v>47</v>
      </c>
      <c r="U76">
        <f>VLOOKUP(S76,PGA!$G$2:$H$555,2,TRUE)-(VLOOKUP(W76,PGA!$D$2:$E$5557,2,TRUE))-1</f>
        <v>0.26999999999999957</v>
      </c>
      <c r="V76">
        <v>0</v>
      </c>
      <c r="W76">
        <v>76.552930999999987</v>
      </c>
      <c r="X76" t="s">
        <v>48</v>
      </c>
      <c r="Y76">
        <f>VLOOKUP(W76,PGA!$D$2:$E$555,2,TRUE)-(VLOOKUP(AA76,PGA!$A$2:$B$92,2,TRUE))-1</f>
        <v>-0.10200000000000009</v>
      </c>
      <c r="Z76">
        <v>6</v>
      </c>
      <c r="AA76">
        <v>6.5616797999999994</v>
      </c>
      <c r="AB76" t="s">
        <v>50</v>
      </c>
      <c r="AC76">
        <f>VLOOKUP(AA76,PGA!$A$2:$B$92,2,TRUE)-(VLOOKUP(AE76,PGA!$A$2:$B$92,2,TRUE))-1</f>
        <v>-0.2779999999999998</v>
      </c>
      <c r="AD76">
        <v>0</v>
      </c>
      <c r="AE76">
        <v>1.3333333333333333</v>
      </c>
      <c r="AF76" t="s">
        <v>50</v>
      </c>
      <c r="AG76">
        <f>VLOOKUP(AE76,PGA!$A$2:$B$92,2,TRUE)-1</f>
        <v>0.12999999999999989</v>
      </c>
      <c r="AH76">
        <v>0</v>
      </c>
    </row>
    <row r="77" spans="1:34" x14ac:dyDescent="0.3">
      <c r="A77" s="3">
        <v>43610.5</v>
      </c>
      <c r="B77" t="s">
        <v>63</v>
      </c>
      <c r="C77">
        <v>11</v>
      </c>
      <c r="D77" s="13">
        <v>4</v>
      </c>
      <c r="E77">
        <f t="shared" si="2"/>
        <v>-6.0000000000000053E-2</v>
      </c>
      <c r="G77">
        <v>352.14348259999997</v>
      </c>
      <c r="H77" t="s">
        <v>68</v>
      </c>
      <c r="I77">
        <f>VLOOKUP(G77,PGA!$P$2:$Q$470,2,TRUE)-(VLOOKUP(K77,PGA!$D$2:$E$5557,2,TRUE))-1</f>
        <v>8.9999999999999858E-2</v>
      </c>
      <c r="J77">
        <v>0</v>
      </c>
      <c r="K77">
        <v>113.73578319999999</v>
      </c>
      <c r="L77" t="s">
        <v>48</v>
      </c>
      <c r="M77">
        <f>VLOOKUP(K77,PGA!$D$2:$E$555,2,TRUE)-(VLOOKUP(O77,PGA!$A$2:$B$92,2,TRUE))-1</f>
        <v>0.13800000000000012</v>
      </c>
      <c r="N77">
        <v>4</v>
      </c>
      <c r="O77">
        <v>4.3744531999999996</v>
      </c>
      <c r="P77" t="s">
        <v>50</v>
      </c>
      <c r="Q77">
        <f>VLOOKUP(O77,PGA!$A$2:$B$92,2,TRUE)-(VLOOKUP(S77,PGA!$A$2:$B$92,2,TRUE))-1</f>
        <v>-0.29800000000000004</v>
      </c>
      <c r="R77">
        <v>0</v>
      </c>
      <c r="S77">
        <v>0.33333333333333331</v>
      </c>
      <c r="T77" t="s">
        <v>50</v>
      </c>
      <c r="U77">
        <f>VLOOKUP(S77,PGA!$A$2:$B$92,2,TRUE)-1</f>
        <v>1.0000000000000009E-2</v>
      </c>
      <c r="V77">
        <v>0</v>
      </c>
    </row>
    <row r="78" spans="1:34" x14ac:dyDescent="0.3">
      <c r="A78" s="3">
        <v>43610.5</v>
      </c>
      <c r="B78" t="s">
        <v>63</v>
      </c>
      <c r="C78">
        <v>10</v>
      </c>
      <c r="D78" s="13">
        <v>4</v>
      </c>
      <c r="E78">
        <f t="shared" si="2"/>
        <v>0.22499999999999964</v>
      </c>
      <c r="G78">
        <v>438.53893329999994</v>
      </c>
      <c r="H78" t="s">
        <v>68</v>
      </c>
      <c r="I78">
        <f>VLOOKUP(G78,PGA!$P$2:$Q$470,2,TRUE)-(VLOOKUP(K78,PGA!$D$2:$E$5557,2,TRUE))-1</f>
        <v>0.14499999999999957</v>
      </c>
      <c r="J78">
        <v>0</v>
      </c>
      <c r="K78">
        <v>174.97812799999997</v>
      </c>
      <c r="L78" t="s">
        <v>48</v>
      </c>
      <c r="M78">
        <f>VLOOKUP(K78,PGA!$D$2:$E$555,2,TRUE)-(VLOOKUP(O78,PGA!$A$2:$B$92,2,TRUE))-1</f>
        <v>-7.2000000000000064E-2</v>
      </c>
      <c r="N78">
        <v>16</v>
      </c>
      <c r="O78">
        <v>17.497812799999998</v>
      </c>
      <c r="P78" t="s">
        <v>50</v>
      </c>
      <c r="Q78">
        <f>VLOOKUP(O78,PGA!$A$2:$B$92,2,TRUE)-(VLOOKUP(S78,PGA!$A$2:$B$92,2,TRUE))-1</f>
        <v>-0.26799999999999979</v>
      </c>
      <c r="R78">
        <v>0</v>
      </c>
      <c r="S78">
        <v>2.3333333333333335</v>
      </c>
      <c r="T78" t="s">
        <v>50</v>
      </c>
      <c r="U78">
        <f>VLOOKUP(S78,PGA!$A$2:$B$92,2,TRUE)-1</f>
        <v>0.41999999999999993</v>
      </c>
      <c r="V78">
        <v>0</v>
      </c>
    </row>
    <row r="79" spans="1:34" x14ac:dyDescent="0.3">
      <c r="A79" s="3">
        <v>43610.5</v>
      </c>
      <c r="B79" t="s">
        <v>63</v>
      </c>
      <c r="C79">
        <v>9</v>
      </c>
      <c r="D79" s="13">
        <v>6</v>
      </c>
      <c r="E79">
        <f t="shared" si="2"/>
        <v>-1.21</v>
      </c>
      <c r="G79">
        <v>542.43219679999993</v>
      </c>
      <c r="H79" t="s">
        <v>68</v>
      </c>
      <c r="I79">
        <f>VLOOKUP(G79,PGA!$P$2:$Q$470,2,TRUE)-(VLOOKUP(K79,PGA!$M$2:$N$555,2,TRUE))-1</f>
        <v>-0.41000000000000014</v>
      </c>
      <c r="J79">
        <v>0</v>
      </c>
      <c r="K79">
        <v>284.33945799999998</v>
      </c>
      <c r="L79" t="s">
        <v>60</v>
      </c>
      <c r="M79">
        <f>VLOOKUP(K79,PGA!$M$2:$EL$555,2,TRUE)-(VLOOKUP(O79,PGA!$D$2:$E$5557,2,TRUE))-1</f>
        <v>-0.63999999999999968</v>
      </c>
      <c r="N79">
        <v>0</v>
      </c>
      <c r="O79">
        <v>295.27559099999996</v>
      </c>
      <c r="P79" t="s">
        <v>48</v>
      </c>
      <c r="Q79">
        <f>VLOOKUP(O79,PGA!$D$2:$E$555,2,TRUE)-(VLOOKUP(S79,PGA!$G$2:$H$555,2,TRUE))-1</f>
        <v>6.0000000000000053E-2</v>
      </c>
      <c r="R79">
        <v>0</v>
      </c>
      <c r="S79">
        <v>54.680664999999998</v>
      </c>
      <c r="T79" t="s">
        <v>47</v>
      </c>
      <c r="U79">
        <f>VLOOKUP(S79,PGA!$G$2:$H$555,2,TRUE)-(VLOOKUP(W79,PGA!$A$2:$B$92,2,TRUE))-1</f>
        <v>-7.2000000000000286E-2</v>
      </c>
      <c r="V79">
        <v>6</v>
      </c>
      <c r="W79">
        <v>6.5616797999999994</v>
      </c>
      <c r="X79" t="s">
        <v>50</v>
      </c>
      <c r="Y79">
        <f>VLOOKUP(W79,PGA!$A$2:$B$92,2,TRUE)-(VLOOKUP(AA79,PGA!$A$2:$B$92,2,TRUE))-1</f>
        <v>-0.15799999999999992</v>
      </c>
      <c r="Z79">
        <v>0</v>
      </c>
      <c r="AA79">
        <v>0.33333333333333331</v>
      </c>
      <c r="AB79" t="s">
        <v>50</v>
      </c>
      <c r="AC79">
        <f>VLOOKUP(AA79,PGA!$A$2:$B$92,2,TRUE)-1</f>
        <v>1.0000000000000009E-2</v>
      </c>
      <c r="AD79">
        <v>0</v>
      </c>
    </row>
    <row r="80" spans="1:34" x14ac:dyDescent="0.3">
      <c r="A80" s="3">
        <v>43610.5</v>
      </c>
      <c r="B80" t="s">
        <v>63</v>
      </c>
      <c r="C80">
        <v>8</v>
      </c>
      <c r="D80" s="13">
        <v>3</v>
      </c>
      <c r="E80">
        <f t="shared" si="2"/>
        <v>-9.9999999999997868E-3</v>
      </c>
      <c r="G80">
        <v>153.10586199999997</v>
      </c>
      <c r="H80" t="s">
        <v>68</v>
      </c>
      <c r="I80">
        <f>VLOOKUP(G80,PGA!$P$2:$Q$470,2,TRUE)-(VLOOKUP(K80,PGA!$A$2:$B$92,2,TRUE))-1</f>
        <v>0.13800000000000012</v>
      </c>
      <c r="J80">
        <v>0</v>
      </c>
      <c r="K80">
        <v>6.5616797999999994</v>
      </c>
      <c r="L80" t="s">
        <v>50</v>
      </c>
      <c r="M80">
        <f>VLOOKUP(K80,PGA!$A$2:$B$92,2,TRUE)-(VLOOKUP(O80,PGA!$A$2:$B$92,2,TRUE))-1</f>
        <v>-0.15799999999999992</v>
      </c>
      <c r="N80">
        <v>0</v>
      </c>
      <c r="O80">
        <v>0.33333333333333331</v>
      </c>
      <c r="P80" t="s">
        <v>50</v>
      </c>
      <c r="Q80">
        <f>VLOOKUP(O80,PGA!$A$2:$B$92,2,TRUE)-1</f>
        <v>1.0000000000000009E-2</v>
      </c>
      <c r="R80">
        <v>0</v>
      </c>
    </row>
    <row r="81" spans="1:30" x14ac:dyDescent="0.3">
      <c r="A81" s="3">
        <v>43610.5</v>
      </c>
      <c r="B81" t="s">
        <v>63</v>
      </c>
      <c r="C81">
        <v>7</v>
      </c>
      <c r="D81" s="13">
        <v>4</v>
      </c>
      <c r="E81">
        <f t="shared" si="2"/>
        <v>8.0000000000000071E-2</v>
      </c>
      <c r="G81">
        <v>410.10498749999994</v>
      </c>
      <c r="H81" t="s">
        <v>68</v>
      </c>
      <c r="I81">
        <f>VLOOKUP(G81,PGA!$P$2:$Q$470,2,TRUE)-(VLOOKUP(K81,PGA!$D$2:$E$5557,2,TRUE))-1</f>
        <v>0.22999999999999998</v>
      </c>
      <c r="J81">
        <v>0</v>
      </c>
      <c r="K81">
        <v>124.67191619999998</v>
      </c>
      <c r="L81" t="s">
        <v>48</v>
      </c>
      <c r="M81">
        <f>VLOOKUP(K81,PGA!$D$2:$E$555,2,TRUE)-(VLOOKUP(O81,PGA!$A$2:$B$92,2,TRUE))-1</f>
        <v>-0.14599999999999991</v>
      </c>
      <c r="N81">
        <v>10</v>
      </c>
      <c r="O81">
        <v>10.936132999999998</v>
      </c>
      <c r="P81" t="s">
        <v>50</v>
      </c>
      <c r="Q81">
        <f>VLOOKUP(O81,PGA!$A$2:$B$92,2,TRUE)-(VLOOKUP(S81,PGA!$A$2:$B$92,2,TRUE))-1</f>
        <v>-4.4000000000000039E-2</v>
      </c>
      <c r="R81">
        <v>0</v>
      </c>
      <c r="S81">
        <v>1</v>
      </c>
      <c r="T81" t="s">
        <v>50</v>
      </c>
      <c r="U81">
        <f>VLOOKUP(S81,PGA!$A$2:$B$92,2,TRUE)-1</f>
        <v>4.0000000000000036E-2</v>
      </c>
      <c r="V81">
        <v>0</v>
      </c>
    </row>
    <row r="82" spans="1:30" x14ac:dyDescent="0.3">
      <c r="A82" s="3">
        <v>43610.5</v>
      </c>
      <c r="B82" t="s">
        <v>63</v>
      </c>
      <c r="C82">
        <v>6</v>
      </c>
      <c r="D82" s="13">
        <v>5</v>
      </c>
      <c r="E82">
        <f t="shared" si="2"/>
        <v>-0.99500000000000011</v>
      </c>
      <c r="G82">
        <v>382.76465499999995</v>
      </c>
      <c r="H82" t="s">
        <v>68</v>
      </c>
      <c r="I82">
        <f>VLOOKUP(G82,PGA!$P$2:$Q$470,2,TRUE)-(VLOOKUP(K82,PGA!$D$2:$E$5557,2,TRUE))-1</f>
        <v>9.4999999999999751E-2</v>
      </c>
      <c r="J82">
        <v>0</v>
      </c>
      <c r="K82">
        <v>131.23359599999998</v>
      </c>
      <c r="L82" t="s">
        <v>48</v>
      </c>
      <c r="M82">
        <f>VLOOKUP(K82,PGA!$D$2:$E$555,2,TRUE)-(VLOOKUP(O82,PGA!$A$2:$B$92,2,TRUE))-1</f>
        <v>-0.11799999999999988</v>
      </c>
      <c r="N82">
        <v>11</v>
      </c>
      <c r="O82">
        <v>12.029746299999999</v>
      </c>
      <c r="P82" t="s">
        <v>50</v>
      </c>
      <c r="Q82">
        <f>VLOOKUP(O82,PGA!$A$2:$B$92,2,TRUE)-(VLOOKUP(S82,PGA!$A$2:$B$92,2,TRUE))-1</f>
        <v>-0.31200000000000006</v>
      </c>
      <c r="R82">
        <v>0</v>
      </c>
      <c r="S82">
        <v>2</v>
      </c>
      <c r="T82" t="s">
        <v>50</v>
      </c>
      <c r="U82">
        <f>VLOOKUP(S82,PGA!$A$2:$B$92,2,TRUE)-(VLOOKUP(W82,PGA!$A$2:$B$92,2,TRUE))-1</f>
        <v>-0.66999999999999993</v>
      </c>
      <c r="V82">
        <v>0</v>
      </c>
      <c r="W82">
        <v>0.66666666666666663</v>
      </c>
      <c r="X82" t="s">
        <v>50</v>
      </c>
      <c r="Y82">
        <f>VLOOKUP(W82,PGA!$A$2:$B$92,2,TRUE)-1</f>
        <v>1.0000000000000009E-2</v>
      </c>
      <c r="Z82">
        <v>0</v>
      </c>
    </row>
    <row r="83" spans="1:30" x14ac:dyDescent="0.3">
      <c r="A83" s="3">
        <v>43610.5</v>
      </c>
      <c r="B83" t="s">
        <v>63</v>
      </c>
      <c r="C83">
        <v>5</v>
      </c>
      <c r="D83" s="13">
        <v>4</v>
      </c>
      <c r="E83">
        <f t="shared" si="2"/>
        <v>-0.87999999999999989</v>
      </c>
      <c r="G83">
        <v>190.28871419999999</v>
      </c>
      <c r="H83" t="s">
        <v>68</v>
      </c>
      <c r="I83">
        <f>VLOOKUP(G83,PGA!$P$2:$Q$470,2,TRUE)-(VLOOKUP(K83,PGA!$G$2:$H$555,2,TRUE))-1</f>
        <v>-0.46999999999999975</v>
      </c>
      <c r="J83">
        <v>20</v>
      </c>
      <c r="K83">
        <v>21.872265999999996</v>
      </c>
      <c r="L83" t="s">
        <v>47</v>
      </c>
      <c r="M83">
        <f>VLOOKUP(K83,PGA!$G$2:$H$555,2,TRUE)-(VLOOKUP(O83,PGA!$G$2:$H$555,2,TRUE))-1</f>
        <v>-0.88000000000000034</v>
      </c>
      <c r="N83">
        <v>0</v>
      </c>
      <c r="O83">
        <v>15.310586199999999</v>
      </c>
      <c r="P83" t="s">
        <v>47</v>
      </c>
      <c r="Q83">
        <f>VLOOKUP(O83,PGA!$G$2:$H$555,2,TRUE)-(VLOOKUP(S83,PGA!$A$2:$B$92,2,TRUE))-1</f>
        <v>0.46000000000000019</v>
      </c>
      <c r="R83">
        <v>0</v>
      </c>
      <c r="S83">
        <v>0.66666666666666663</v>
      </c>
      <c r="T83" t="s">
        <v>50</v>
      </c>
      <c r="U83">
        <f>VLOOKUP(S83,PGA!$A$2:$B$92,2,TRUE)-1</f>
        <v>1.0000000000000009E-2</v>
      </c>
      <c r="V83">
        <v>0</v>
      </c>
    </row>
    <row r="84" spans="1:30" x14ac:dyDescent="0.3">
      <c r="A84" s="3">
        <v>43610.5</v>
      </c>
      <c r="B84" t="s">
        <v>63</v>
      </c>
      <c r="C84">
        <v>4</v>
      </c>
      <c r="D84" s="13">
        <v>4</v>
      </c>
      <c r="E84">
        <f t="shared" si="2"/>
        <v>0.16999999999999993</v>
      </c>
      <c r="G84">
        <v>421.04112049999998</v>
      </c>
      <c r="H84" t="s">
        <v>68</v>
      </c>
      <c r="I84">
        <f>VLOOKUP(G84,PGA!$P$2:$Q$470,2,TRUE)-(VLOOKUP(K84,PGA!$D$2:$E$5557,2,TRUE))-1</f>
        <v>-2.0000000000000018E-2</v>
      </c>
      <c r="J84">
        <v>0</v>
      </c>
      <c r="K84">
        <v>196.85039399999999</v>
      </c>
      <c r="L84" t="s">
        <v>48</v>
      </c>
      <c r="M84">
        <f>VLOOKUP(K84,PGA!$D$2:$E$555,2,TRUE)-(VLOOKUP(O84,PGA!$G$2:$H$555,2,TRUE))-1</f>
        <v>-0.39999999999999991</v>
      </c>
      <c r="N84">
        <v>17</v>
      </c>
      <c r="O84">
        <v>18.5914261</v>
      </c>
      <c r="P84" t="s">
        <v>47</v>
      </c>
      <c r="Q84">
        <f>VLOOKUP(O84,PGA!$G$2:$H$555,2,TRUE)-(VLOOKUP(S84,PGA!$A$2:$B$92,2,TRUE))-1</f>
        <v>0.54999999999999982</v>
      </c>
      <c r="R84">
        <v>1</v>
      </c>
      <c r="S84">
        <v>1</v>
      </c>
      <c r="T84" t="s">
        <v>50</v>
      </c>
      <c r="U84">
        <f>VLOOKUP(S84,PGA!$A$2:$B$92,2,TRUE)-1</f>
        <v>4.0000000000000036E-2</v>
      </c>
      <c r="V84">
        <v>0</v>
      </c>
    </row>
    <row r="85" spans="1:30" x14ac:dyDescent="0.3">
      <c r="A85" s="3">
        <v>43610.5</v>
      </c>
      <c r="B85" t="s">
        <v>63</v>
      </c>
      <c r="C85">
        <v>3</v>
      </c>
      <c r="D85" s="13">
        <v>6</v>
      </c>
      <c r="E85">
        <f t="shared" si="2"/>
        <v>-1.1799999999999997</v>
      </c>
      <c r="G85">
        <v>554.46194309999998</v>
      </c>
      <c r="H85" t="s">
        <v>68</v>
      </c>
      <c r="I85">
        <f>VLOOKUP(G85,PGA!$P$2:$Q$470,2,TRUE)-(VLOOKUP(K85,PGA!$M$2:$N$555,2,TRUE))-1</f>
        <v>-9.9999999999999645E-2</v>
      </c>
      <c r="J85">
        <v>0</v>
      </c>
      <c r="K85">
        <v>205.59930039999998</v>
      </c>
      <c r="L85" t="s">
        <v>60</v>
      </c>
      <c r="M85">
        <f>VLOOKUP(K85,PGA!$M$2:$EL$555,2,TRUE)-(VLOOKUP(O85,PGA!$D$2:$E$5557,2,TRUE))-1</f>
        <v>-6.0000000000000053E-2</v>
      </c>
      <c r="N85">
        <v>0</v>
      </c>
      <c r="O85">
        <v>157.48031519999998</v>
      </c>
      <c r="P85" t="s">
        <v>48</v>
      </c>
      <c r="Q85">
        <f>VLOOKUP(O85,PGA!$D$2:$E$555,2,TRUE)-(VLOOKUP(S85,PGA!$G$2:$H$555,2,TRUE))-1</f>
        <v>-0.49000000000000021</v>
      </c>
      <c r="R85">
        <v>14</v>
      </c>
      <c r="S85">
        <v>15.310586199999999</v>
      </c>
      <c r="T85" t="s">
        <v>47</v>
      </c>
      <c r="U85">
        <f>VLOOKUP(S85,PGA!$G$2:$H$555,2,TRUE)-(VLOOKUP(W85,PGA!$A$2:$B$92,2,TRUE))-1</f>
        <v>-0.24199999999999977</v>
      </c>
      <c r="V85">
        <v>4</v>
      </c>
      <c r="W85">
        <v>4.3744531999999996</v>
      </c>
      <c r="X85" t="s">
        <v>50</v>
      </c>
      <c r="Y85">
        <f>VLOOKUP(W85,PGA!$A$2:$B$92,2,TRUE)-(VLOOKUP(AA85,PGA!$A$2:$B$92,2,TRUE))-1</f>
        <v>-0.29800000000000004</v>
      </c>
      <c r="Z85">
        <v>0</v>
      </c>
      <c r="AA85">
        <v>0.66666666666666663</v>
      </c>
      <c r="AB85" t="s">
        <v>50</v>
      </c>
      <c r="AC85">
        <f>VLOOKUP(AA85,PGA!$A$2:$B$92,2,TRUE)-1</f>
        <v>1.0000000000000009E-2</v>
      </c>
      <c r="AD85">
        <v>0</v>
      </c>
    </row>
    <row r="86" spans="1:30" x14ac:dyDescent="0.3">
      <c r="A86" s="3">
        <v>43610.5</v>
      </c>
      <c r="B86" t="s">
        <v>63</v>
      </c>
      <c r="C86">
        <v>2</v>
      </c>
      <c r="D86" s="13">
        <v>6</v>
      </c>
      <c r="E86">
        <f t="shared" si="2"/>
        <v>-1.7199999999999998</v>
      </c>
      <c r="G86">
        <v>440.72615989999997</v>
      </c>
      <c r="H86" t="s">
        <v>68</v>
      </c>
      <c r="I86">
        <f>VLOOKUP(G86,PGA!$P$2:$Q$470,2,TRUE)-(VLOOKUP(K86,PGA!$M$2:$N$555,2,TRUE))-1</f>
        <v>-0.63999999999999968</v>
      </c>
      <c r="J86">
        <v>0</v>
      </c>
      <c r="K86">
        <v>229.65879299999997</v>
      </c>
      <c r="L86" t="s">
        <v>60</v>
      </c>
      <c r="M86">
        <f>VLOOKUP(K86,PGA!$M$2:$EL$555,2,TRUE)-(VLOOKUP(O86,PGA!$G$2:$H$555,2,TRUE))-1</f>
        <v>0.14000000000000012</v>
      </c>
      <c r="N86">
        <v>0</v>
      </c>
      <c r="O86">
        <v>44.838145299999994</v>
      </c>
      <c r="P86" t="s">
        <v>47</v>
      </c>
      <c r="Q86">
        <f>VLOOKUP(O86,PGA!$G$2:$H$555,2,TRUE)-(VLOOKUP(S86,PGA!$A$2:$B$92,2,TRUE))-1</f>
        <v>-0.29600000000000026</v>
      </c>
      <c r="R86">
        <v>13</v>
      </c>
      <c r="S86">
        <v>14.216972899999998</v>
      </c>
      <c r="T86" t="s">
        <v>50</v>
      </c>
      <c r="U86">
        <f>VLOOKUP(S86,PGA!$A$2:$B$92,2,TRUE)-(VLOOKUP(W86,PGA!$A$2:$B$92,2,TRUE))-1</f>
        <v>3.6000000000000032E-2</v>
      </c>
      <c r="V86">
        <v>0</v>
      </c>
      <c r="W86">
        <v>1</v>
      </c>
      <c r="X86" t="s">
        <v>50</v>
      </c>
      <c r="Y86">
        <f>VLOOKUP(W86,PGA!$A$2:$B$92,2,TRUE)-(VLOOKUP(AA86,PGA!$A$2:$B$92,2,TRUE))-1</f>
        <v>-0.97</v>
      </c>
      <c r="Z86">
        <v>0</v>
      </c>
      <c r="AA86">
        <v>0.33333333333333331</v>
      </c>
      <c r="AB86" t="s">
        <v>50</v>
      </c>
      <c r="AC86">
        <f>VLOOKUP(AA86,PGA!$A$2:$B$92,2,TRUE)-1</f>
        <v>1.0000000000000009E-2</v>
      </c>
      <c r="AD86">
        <v>0</v>
      </c>
    </row>
    <row r="87" spans="1:30" x14ac:dyDescent="0.3">
      <c r="A87" s="3">
        <v>43610.5</v>
      </c>
      <c r="B87" t="s">
        <v>63</v>
      </c>
      <c r="C87">
        <v>1</v>
      </c>
      <c r="D87" s="13">
        <v>4</v>
      </c>
      <c r="E87">
        <f t="shared" si="2"/>
        <v>-2.4999999999999911E-2</v>
      </c>
      <c r="G87">
        <v>363.07961559999995</v>
      </c>
      <c r="H87" t="s">
        <v>68</v>
      </c>
      <c r="I87">
        <f>VLOOKUP(G87,PGA!$P$2:$Q$470,2,TRUE)-(VLOOKUP(K87,PGA!$D$2:$E$5557,2,TRUE))-1</f>
        <v>0.17500000000000027</v>
      </c>
      <c r="J87">
        <v>0</v>
      </c>
      <c r="K87">
        <v>107.17410339999999</v>
      </c>
      <c r="L87" t="s">
        <v>48</v>
      </c>
      <c r="M87">
        <f>VLOOKUP(K87,PGA!$D$2:$E$555,2,TRUE)-(VLOOKUP(O87,PGA!$A$2:$B$92,2,TRUE))-1</f>
        <v>-0.19600000000000017</v>
      </c>
      <c r="N87">
        <v>10</v>
      </c>
      <c r="O87">
        <v>10.936132999999998</v>
      </c>
      <c r="P87" t="s">
        <v>50</v>
      </c>
      <c r="Q87">
        <f>VLOOKUP(O87,PGA!$A$2:$B$92,2,TRUE)-(VLOOKUP(S87,PGA!$A$2:$B$92,2,TRUE))-1</f>
        <v>-4.4000000000000039E-2</v>
      </c>
      <c r="R87">
        <v>0</v>
      </c>
      <c r="S87">
        <v>1</v>
      </c>
      <c r="T87" t="s">
        <v>50</v>
      </c>
      <c r="U87">
        <f>VLOOKUP(S87,PGA!$A$2:$B$92,2,TRUE)-1</f>
        <v>4.0000000000000036E-2</v>
      </c>
      <c r="V87">
        <v>0</v>
      </c>
    </row>
    <row r="88" spans="1:30" x14ac:dyDescent="0.3">
      <c r="A88" s="3">
        <v>43609.5</v>
      </c>
      <c r="B88" t="s">
        <v>64</v>
      </c>
      <c r="C88">
        <v>9</v>
      </c>
      <c r="D88" s="13">
        <v>5</v>
      </c>
      <c r="E88">
        <f t="shared" si="2"/>
        <v>-0.20999999999999996</v>
      </c>
      <c r="G88">
        <v>530.40245049999999</v>
      </c>
      <c r="H88" t="s">
        <v>68</v>
      </c>
      <c r="I88">
        <f>VLOOKUP(G88,PGA!$P$2:$Q$470,2,TRUE)-(VLOOKUP(K88,PGA!$D$2:$E$5557,2,TRUE))-1</f>
        <v>0.33999999999999986</v>
      </c>
      <c r="J88">
        <v>0</v>
      </c>
      <c r="K88">
        <v>234.03324619999998</v>
      </c>
      <c r="L88" t="s">
        <v>48</v>
      </c>
      <c r="M88">
        <f>VLOOKUP(K88,PGA!$D$2:$E$555,2,TRUE)-(VLOOKUP(O88,PGA!$J$2:$K$555,2,TRUE))-1</f>
        <v>-7.9999999999999627E-2</v>
      </c>
      <c r="N88">
        <v>31</v>
      </c>
      <c r="O88">
        <v>33.902012299999996</v>
      </c>
      <c r="P88" t="s">
        <v>49</v>
      </c>
      <c r="Q88">
        <f>VLOOKUP(O88,PGA!$J$2:$DH$555,2,TRUE)-(VLOOKUP(S88,PGA!$D$2:$E$5557,2,TRUE))-1</f>
        <v>-0.76000000000000023</v>
      </c>
      <c r="R88">
        <v>14</v>
      </c>
      <c r="S88">
        <v>15.310586199999999</v>
      </c>
      <c r="T88" t="s">
        <v>48</v>
      </c>
      <c r="U88">
        <f>VLOOKUP(S88,PGA!$D$2:$E$555,2,TRUE)-(VLOOKUP(W88,PGA!$A$2:$B$92,2,TRUE))-1</f>
        <v>0.28000000000000003</v>
      </c>
      <c r="V88">
        <v>0</v>
      </c>
      <c r="W88">
        <v>0.66666666666666663</v>
      </c>
      <c r="X88" t="s">
        <v>50</v>
      </c>
      <c r="Y88">
        <f>VLOOKUP(W88,PGA!$A$2:$B$92,2,TRUE)-1</f>
        <v>1.0000000000000009E-2</v>
      </c>
      <c r="Z88">
        <v>0</v>
      </c>
    </row>
    <row r="89" spans="1:30" x14ac:dyDescent="0.3">
      <c r="A89" s="3">
        <v>43609.5</v>
      </c>
      <c r="B89" t="s">
        <v>64</v>
      </c>
      <c r="C89">
        <v>8</v>
      </c>
      <c r="D89" s="13">
        <v>3</v>
      </c>
      <c r="E89">
        <f t="shared" si="2"/>
        <v>-9.9999999999997868E-3</v>
      </c>
      <c r="G89">
        <v>157.48031519999998</v>
      </c>
      <c r="H89" t="s">
        <v>68</v>
      </c>
      <c r="I89">
        <f>VLOOKUP(G89,PGA!$P$2:$Q$470,2,TRUE)-(VLOOKUP(K89,PGA!$A$2:$B$92,2,TRUE))-1</f>
        <v>0.19200000000000017</v>
      </c>
      <c r="J89">
        <v>5</v>
      </c>
      <c r="K89">
        <v>5.4680664999999991</v>
      </c>
      <c r="L89" t="s">
        <v>50</v>
      </c>
      <c r="M89">
        <f>VLOOKUP(K89,PGA!$A$2:$B$92,2,TRUE)-(VLOOKUP(O89,PGA!$A$2:$B$92,2,TRUE))-1</f>
        <v>-0.24199999999999999</v>
      </c>
      <c r="N89">
        <v>0</v>
      </c>
      <c r="O89">
        <v>1</v>
      </c>
      <c r="P89" t="s">
        <v>50</v>
      </c>
      <c r="Q89">
        <f>VLOOKUP(O89,PGA!$A$2:$B$92,2,TRUE)-1</f>
        <v>4.0000000000000036E-2</v>
      </c>
      <c r="R89">
        <v>0</v>
      </c>
    </row>
    <row r="90" spans="1:30" x14ac:dyDescent="0.3">
      <c r="A90" s="3">
        <v>43609.5</v>
      </c>
      <c r="B90" t="s">
        <v>64</v>
      </c>
      <c r="C90">
        <v>7</v>
      </c>
      <c r="D90" s="13">
        <v>4</v>
      </c>
      <c r="E90">
        <f t="shared" si="2"/>
        <v>0.41000000000000014</v>
      </c>
      <c r="G90">
        <v>460.41119929999996</v>
      </c>
      <c r="H90" t="s">
        <v>68</v>
      </c>
      <c r="I90">
        <f>VLOOKUP(G90,PGA!$P$2:$Q$470,2,TRUE)-(VLOOKUP(K90,PGA!$D$2:$E$5557,2,TRUE))-1</f>
        <v>0.5</v>
      </c>
      <c r="J90">
        <v>0</v>
      </c>
      <c r="K90">
        <v>145.45056889999998</v>
      </c>
      <c r="L90" t="s">
        <v>48</v>
      </c>
      <c r="M90">
        <f>VLOOKUP(K90,PGA!$D$2:$E$555,2,TRUE)-(VLOOKUP(O90,PGA!$A$2:$B$92,2,TRUE))-1</f>
        <v>-2.9999999999999805E-2</v>
      </c>
      <c r="N90">
        <v>8</v>
      </c>
      <c r="O90">
        <v>8.7489063999999992</v>
      </c>
      <c r="P90" t="s">
        <v>50</v>
      </c>
      <c r="Q90">
        <f>VLOOKUP(O90,PGA!$A$2:$B$92,2,TRUE)-(VLOOKUP(S90,PGA!$A$2:$B$92,2,TRUE))-1</f>
        <v>-0.10000000000000009</v>
      </c>
      <c r="R90">
        <v>0</v>
      </c>
      <c r="S90">
        <v>1</v>
      </c>
      <c r="T90" t="s">
        <v>50</v>
      </c>
      <c r="U90">
        <f>VLOOKUP(S90,PGA!$A$2:$B$92,2,TRUE)-1</f>
        <v>4.0000000000000036E-2</v>
      </c>
      <c r="V90">
        <v>0</v>
      </c>
    </row>
    <row r="91" spans="1:30" x14ac:dyDescent="0.3">
      <c r="A91" s="3">
        <v>43609.5</v>
      </c>
      <c r="B91" t="s">
        <v>64</v>
      </c>
      <c r="C91">
        <v>6</v>
      </c>
      <c r="D91" s="13">
        <v>4</v>
      </c>
      <c r="E91">
        <f t="shared" si="2"/>
        <v>4.9999999999998934E-3</v>
      </c>
      <c r="G91">
        <v>377.29658849999998</v>
      </c>
      <c r="H91" t="s">
        <v>68</v>
      </c>
      <c r="I91">
        <f>VLOOKUP(G91,PGA!$P$2:$Q$470,2,TRUE)-(VLOOKUP(K91,PGA!$D$2:$E$5557,2,TRUE))-1</f>
        <v>0.1549999999999998</v>
      </c>
      <c r="J91">
        <v>0</v>
      </c>
      <c r="K91">
        <v>124.67191619999998</v>
      </c>
      <c r="L91" t="s">
        <v>48</v>
      </c>
      <c r="M91">
        <f>VLOOKUP(K91,PGA!$D$2:$E$555,2,TRUE)-(VLOOKUP(O91,PGA!$A$2:$B$92,2,TRUE))-1</f>
        <v>-0.14599999999999991</v>
      </c>
      <c r="N91">
        <v>10</v>
      </c>
      <c r="O91">
        <v>10.936132999999998</v>
      </c>
      <c r="P91" t="s">
        <v>50</v>
      </c>
      <c r="Q91">
        <f>VLOOKUP(O91,PGA!$A$2:$B$92,2,TRUE)-(VLOOKUP(S91,PGA!$A$2:$B$92,2,TRUE))-1</f>
        <v>-0.1339999999999999</v>
      </c>
      <c r="R91">
        <v>0</v>
      </c>
      <c r="S91">
        <v>1.3333333333333333</v>
      </c>
      <c r="T91" t="s">
        <v>50</v>
      </c>
      <c r="U91">
        <f>VLOOKUP(S91,PGA!$A$2:$B$92,2,TRUE)-1</f>
        <v>0.12999999999999989</v>
      </c>
      <c r="V91">
        <v>0</v>
      </c>
    </row>
    <row r="92" spans="1:30" x14ac:dyDescent="0.3">
      <c r="A92" s="3">
        <v>43609.5</v>
      </c>
      <c r="B92" t="s">
        <v>64</v>
      </c>
      <c r="C92">
        <v>5</v>
      </c>
      <c r="D92" s="13">
        <v>4</v>
      </c>
      <c r="E92">
        <f t="shared" si="2"/>
        <v>-8.0000000000000071E-2</v>
      </c>
      <c r="G92">
        <v>334.64566979999995</v>
      </c>
      <c r="H92" t="s">
        <v>68</v>
      </c>
      <c r="I92">
        <f>VLOOKUP(G92,PGA!$P$2:$Q$470,2,TRUE)-(VLOOKUP(K92,PGA!$M$2:$N$555,2,TRUE))-1</f>
        <v>-0.87999999999999989</v>
      </c>
      <c r="J92">
        <v>0</v>
      </c>
      <c r="K92">
        <v>100.61242359999999</v>
      </c>
      <c r="L92" t="s">
        <v>60</v>
      </c>
      <c r="M92">
        <f>VLOOKUP(K92,PGA!$M$2:$EL$555,2,TRUE)-(VLOOKUP(O92,PGA!$G$2:$H$555,2,TRUE))-1</f>
        <v>-0.16000000000000014</v>
      </c>
      <c r="N92">
        <v>0</v>
      </c>
      <c r="O92">
        <v>100.61242359999999</v>
      </c>
      <c r="P92" t="s">
        <v>47</v>
      </c>
      <c r="Q92">
        <f>VLOOKUP(O92,PGA!$G$2:$H$555,2,TRUE)-(VLOOKUP(S92,PGA!$A$2:$B$92,2,TRUE))-1</f>
        <v>0.248</v>
      </c>
      <c r="R92">
        <v>0</v>
      </c>
      <c r="S92">
        <v>4.666666666666667</v>
      </c>
      <c r="T92" t="s">
        <v>50</v>
      </c>
      <c r="U92">
        <f>VLOOKUP(S92,PGA!$A$2:$B$92,2,TRUE)-1</f>
        <v>0.71199999999999997</v>
      </c>
      <c r="V92">
        <v>0</v>
      </c>
    </row>
    <row r="93" spans="1:30" x14ac:dyDescent="0.3">
      <c r="A93" s="3">
        <v>43609.5</v>
      </c>
      <c r="B93" t="s">
        <v>64</v>
      </c>
      <c r="C93">
        <v>4</v>
      </c>
      <c r="D93" s="13">
        <v>5</v>
      </c>
      <c r="E93">
        <f t="shared" si="2"/>
        <v>-0.17999999999999972</v>
      </c>
      <c r="G93">
        <v>577.42782239999997</v>
      </c>
      <c r="H93" t="s">
        <v>68</v>
      </c>
      <c r="I93">
        <f>VLOOKUP(G93,PGA!$P$2:$Q$470,2,TRUE)-(VLOOKUP(K93,PGA!$D$2:$E$5557,2,TRUE))-1</f>
        <v>4.000000000000048E-2</v>
      </c>
      <c r="J93">
        <v>0</v>
      </c>
      <c r="K93">
        <v>279.96500479999997</v>
      </c>
      <c r="L93" t="s">
        <v>48</v>
      </c>
      <c r="M93">
        <f>VLOOKUP(K93,PGA!$D$2:$E$555,2,TRUE)-(VLOOKUP(O93,PGA!$G$2:$H$555,2,TRUE))-1</f>
        <v>0.18999999999999995</v>
      </c>
      <c r="N93">
        <v>30</v>
      </c>
      <c r="O93">
        <v>32.808398999999994</v>
      </c>
      <c r="P93" t="s">
        <v>47</v>
      </c>
      <c r="Q93">
        <f>VLOOKUP(O93,PGA!$G$2:$H$555,2,TRUE)-(VLOOKUP(S93,PGA!$A$2:$B$92,2,TRUE))-1</f>
        <v>-0.48600000000000021</v>
      </c>
      <c r="R93">
        <v>0</v>
      </c>
      <c r="S93">
        <v>14.216972899999998</v>
      </c>
      <c r="T93" t="s">
        <v>50</v>
      </c>
      <c r="U93">
        <f>VLOOKUP(S93,PGA!$A$2:$B$92,2,TRUE)-(VLOOKUP(W93,PGA!$A$2:$B$92,2,TRUE))-1</f>
        <v>6.6000000000000059E-2</v>
      </c>
      <c r="V93">
        <v>0</v>
      </c>
      <c r="W93">
        <v>0.66666666666666663</v>
      </c>
      <c r="X93" t="s">
        <v>50</v>
      </c>
      <c r="Y93">
        <f>VLOOKUP(W93,PGA!$A$2:$B$92,2,TRUE)-1</f>
        <v>1.0000000000000009E-2</v>
      </c>
      <c r="Z93">
        <v>0</v>
      </c>
    </row>
    <row r="94" spans="1:30" x14ac:dyDescent="0.3">
      <c r="A94" s="3">
        <v>43609.5</v>
      </c>
      <c r="B94" t="s">
        <v>64</v>
      </c>
      <c r="C94">
        <v>3</v>
      </c>
      <c r="D94" s="13">
        <v>4</v>
      </c>
      <c r="E94">
        <f t="shared" si="2"/>
        <v>-0.79</v>
      </c>
      <c r="G94">
        <v>227.47156639999997</v>
      </c>
      <c r="H94" t="s">
        <v>68</v>
      </c>
      <c r="I94">
        <f>VLOOKUP(G94,PGA!$P$2:$Q$470,2,TRUE)-(VLOOKUP(K94,PGA!$G$2:$H$555,2,TRUE))-1</f>
        <v>-0.37999999999999989</v>
      </c>
      <c r="J94">
        <v>20</v>
      </c>
      <c r="K94">
        <v>21.872265999999996</v>
      </c>
      <c r="L94" t="s">
        <v>47</v>
      </c>
      <c r="M94">
        <f>VLOOKUP(K94,PGA!$G$2:$H$555,2,TRUE)-(VLOOKUP(O94,PGA!$A$2:$B$92,2,TRUE))-1</f>
        <v>-0.35000000000000009</v>
      </c>
      <c r="N94">
        <v>8</v>
      </c>
      <c r="O94">
        <v>8.7489063999999992</v>
      </c>
      <c r="P94" t="s">
        <v>50</v>
      </c>
      <c r="Q94">
        <f>VLOOKUP(O94,PGA!$A$2:$B$92,2,TRUE)-(VLOOKUP(S94,PGA!$A$2:$B$92,2,TRUE))-1</f>
        <v>-0.10000000000000009</v>
      </c>
      <c r="R94">
        <v>0</v>
      </c>
      <c r="S94">
        <v>1</v>
      </c>
      <c r="T94" t="s">
        <v>50</v>
      </c>
      <c r="U94">
        <f>VLOOKUP(S94,PGA!$A$2:$B$92,2,TRUE)-1</f>
        <v>4.0000000000000036E-2</v>
      </c>
      <c r="V94">
        <v>0</v>
      </c>
    </row>
    <row r="95" spans="1:30" x14ac:dyDescent="0.3">
      <c r="A95" s="3">
        <v>43609.5</v>
      </c>
      <c r="B95" t="s">
        <v>64</v>
      </c>
      <c r="C95">
        <v>2</v>
      </c>
      <c r="D95" s="13">
        <v>3</v>
      </c>
      <c r="E95">
        <f t="shared" si="2"/>
        <v>0.81099999999999994</v>
      </c>
      <c r="G95">
        <v>300.74365749999998</v>
      </c>
      <c r="H95" t="s">
        <v>68</v>
      </c>
      <c r="I95">
        <f>VLOOKUP(G95,PGA!$P$2:$Q$470,2,TRUE)-(VLOOKUP(K95,PGA!$D$2:$E$5557,2,TRUE))-1</f>
        <v>6.0999999999999943E-2</v>
      </c>
      <c r="J95">
        <v>0</v>
      </c>
      <c r="K95">
        <v>74.365704399999998</v>
      </c>
      <c r="L95" t="s">
        <v>48</v>
      </c>
      <c r="M95">
        <f>VLOOKUP(K95,PGA!$D$2:$E$555,2,TRUE)-(VLOOKUP(O95,PGA!$A$2:$B$92,2,TRUE))-1</f>
        <v>0.33000000000000007</v>
      </c>
      <c r="N95">
        <v>2</v>
      </c>
      <c r="O95">
        <v>2.6666666666666665</v>
      </c>
      <c r="P95" t="s">
        <v>50</v>
      </c>
      <c r="Q95">
        <f>VLOOKUP(O95,PGA!$A$2:$B$92,2,TRUE)-1</f>
        <v>0.41999999999999993</v>
      </c>
      <c r="R95">
        <v>0</v>
      </c>
    </row>
    <row r="96" spans="1:30" x14ac:dyDescent="0.3">
      <c r="A96" s="3">
        <v>43609.5</v>
      </c>
      <c r="B96" t="s">
        <v>64</v>
      </c>
      <c r="C96">
        <v>1</v>
      </c>
      <c r="D96" s="13">
        <v>4</v>
      </c>
      <c r="E96">
        <f t="shared" si="2"/>
        <v>8.0000000000000071E-2</v>
      </c>
      <c r="G96">
        <v>419.94750719999996</v>
      </c>
      <c r="H96" t="s">
        <v>68</v>
      </c>
      <c r="I96">
        <f>VLOOKUP(G96,PGA!$P$2:$Q$470,2,TRUE)-(VLOOKUP(K96,PGA!$M$2:$N$555,2,TRUE))-1</f>
        <v>-0.71999999999999975</v>
      </c>
      <c r="J96">
        <v>0</v>
      </c>
      <c r="K96">
        <v>131.23359599999998</v>
      </c>
      <c r="L96" t="s">
        <v>60</v>
      </c>
      <c r="M96">
        <f>VLOOKUP(K96,PGA!$M$2:$EL$555,2,TRUE)-(VLOOKUP(O96,PGA!$G$2:$H$555,2,TRUE))-1</f>
        <v>-0.35000000000000009</v>
      </c>
      <c r="N96">
        <v>0</v>
      </c>
      <c r="O96">
        <v>131.23359599999998</v>
      </c>
      <c r="P96" t="s">
        <v>47</v>
      </c>
      <c r="Q96">
        <f>VLOOKUP(O96,PGA!$G$2:$H$555,2,TRUE)-(VLOOKUP(S96,PGA!$A$2:$B$92,2,TRUE))-1</f>
        <v>1.02</v>
      </c>
      <c r="R96">
        <v>1</v>
      </c>
      <c r="S96">
        <v>1.3333333333333333</v>
      </c>
      <c r="T96" t="s">
        <v>50</v>
      </c>
      <c r="U96">
        <f>VLOOKUP(S96,PGA!$A$2:$B$92,2,TRUE)-1</f>
        <v>0.12999999999999989</v>
      </c>
      <c r="V96">
        <v>0</v>
      </c>
    </row>
    <row r="97" spans="1:26" x14ac:dyDescent="0.3">
      <c r="A97" s="3">
        <v>43588.5</v>
      </c>
      <c r="B97" t="s">
        <v>55</v>
      </c>
      <c r="C97">
        <v>18</v>
      </c>
      <c r="D97" s="13">
        <v>4</v>
      </c>
      <c r="E97">
        <f t="shared" si="2"/>
        <v>4.9999999999998934E-3</v>
      </c>
      <c r="G97">
        <v>377.29658849999998</v>
      </c>
      <c r="H97" t="s">
        <v>68</v>
      </c>
      <c r="I97">
        <f>VLOOKUP(G97,PGA!$P$2:$Q$470,2,TRUE)-(VLOOKUP(K97,PGA!$D$2:$E$5557,2,TRUE))-1</f>
        <v>0.1549999999999998</v>
      </c>
      <c r="J97">
        <v>0</v>
      </c>
      <c r="K97">
        <v>125.76552949999999</v>
      </c>
      <c r="L97" t="s">
        <v>48</v>
      </c>
      <c r="M97">
        <f>VLOOKUP(K97,PGA!$D$2:$E$555,2,TRUE)-(VLOOKUP(O97,PGA!$A$2:$B$92,2,TRUE))-1</f>
        <v>5.2000000000000046E-2</v>
      </c>
      <c r="N97">
        <v>0</v>
      </c>
      <c r="O97">
        <v>5.4680664999999991</v>
      </c>
      <c r="P97" t="s">
        <v>50</v>
      </c>
      <c r="Q97">
        <f>VLOOKUP(O97,PGA!$A$2:$B$92,2,TRUE)-(VLOOKUP(S97,PGA!$A$2:$B$92,2,TRUE))-1</f>
        <v>-0.24199999999999999</v>
      </c>
      <c r="R97">
        <v>0</v>
      </c>
      <c r="S97">
        <v>1.0936132999999999</v>
      </c>
      <c r="T97" t="s">
        <v>50</v>
      </c>
      <c r="U97">
        <f>VLOOKUP(S97,PGA!$A$2:$B$92,2,TRUE)-1</f>
        <v>4.0000000000000036E-2</v>
      </c>
      <c r="V97">
        <v>0</v>
      </c>
    </row>
    <row r="98" spans="1:26" x14ac:dyDescent="0.3">
      <c r="A98" s="3">
        <v>43588.5</v>
      </c>
      <c r="B98" t="s">
        <v>55</v>
      </c>
      <c r="C98">
        <v>17</v>
      </c>
      <c r="D98" s="13">
        <v>4</v>
      </c>
      <c r="E98">
        <f t="shared" ref="E98:E123" si="3">SUM(I98,M98,Q98,U98,Y98,AC98,AG98,AK98,AO98,BA98,AW98,AS98,BE98)</f>
        <v>0.47499999999999964</v>
      </c>
      <c r="G98">
        <v>474.62817219999994</v>
      </c>
      <c r="H98" t="s">
        <v>68</v>
      </c>
      <c r="I98">
        <f>VLOOKUP(G98,PGA!$P$2:$Q$470,2,TRUE)-(VLOOKUP(K98,PGA!$D$2:$E$5557,2,TRUE))-1</f>
        <v>0.2849999999999997</v>
      </c>
      <c r="J98">
        <v>0</v>
      </c>
      <c r="K98">
        <v>199.03762059999997</v>
      </c>
      <c r="L98" t="s">
        <v>48</v>
      </c>
      <c r="M98">
        <f>VLOOKUP(K98,PGA!$D$2:$E$555,2,TRUE)-(VLOOKUP(O98,PGA!$A$2:$B$92,2,TRUE))-1</f>
        <v>0.33799999999999986</v>
      </c>
      <c r="N98">
        <v>0</v>
      </c>
      <c r="O98">
        <v>6.5616797999999994</v>
      </c>
      <c r="P98" t="s">
        <v>50</v>
      </c>
      <c r="Q98">
        <f>VLOOKUP(O98,PGA!$A$2:$B$92,2,TRUE)-(VLOOKUP(S98,PGA!$A$2:$B$92,2,TRUE))-1</f>
        <v>-0.70799999999999996</v>
      </c>
      <c r="R98">
        <v>0</v>
      </c>
      <c r="S98">
        <v>3.2808398999999997</v>
      </c>
      <c r="T98" t="s">
        <v>50</v>
      </c>
      <c r="U98">
        <f>VLOOKUP(S98,PGA!$A$2:$B$92,2,TRUE)-1</f>
        <v>0.56000000000000005</v>
      </c>
      <c r="V98">
        <v>0</v>
      </c>
    </row>
    <row r="99" spans="1:26" x14ac:dyDescent="0.3">
      <c r="A99" s="3">
        <v>43588.5</v>
      </c>
      <c r="B99" t="s">
        <v>55</v>
      </c>
      <c r="C99">
        <v>16</v>
      </c>
      <c r="D99" s="13">
        <v>4</v>
      </c>
      <c r="E99">
        <f t="shared" si="3"/>
        <v>-6.0000000000000053E-2</v>
      </c>
      <c r="G99">
        <v>351.04986929999995</v>
      </c>
      <c r="H99" t="s">
        <v>68</v>
      </c>
      <c r="I99">
        <f>VLOOKUP(G99,PGA!$P$2:$Q$470,2,TRUE)-(VLOOKUP(K99,PGA!$J$2:$K$555,2,TRUE))-1</f>
        <v>-0.30000000000000027</v>
      </c>
      <c r="J99">
        <v>0</v>
      </c>
      <c r="K99">
        <v>77.646544299999988</v>
      </c>
      <c r="L99" t="s">
        <v>49</v>
      </c>
      <c r="M99">
        <f>VLOOKUP(K99,PGA!$J$2:$DH$555,2,TRUE)-(VLOOKUP(O99,PGA!$D$2:$E$5557,2,TRUE))-1</f>
        <v>-0.45999999999999996</v>
      </c>
      <c r="N99">
        <v>0</v>
      </c>
      <c r="O99">
        <v>67.804024599999991</v>
      </c>
      <c r="P99" t="s">
        <v>48</v>
      </c>
      <c r="Q99">
        <f>VLOOKUP(O99,PGA!$D$2:$E$555,2,TRUE)-(VLOOKUP(S99,PGA!$A$2:$B$92,2,TRUE))-1</f>
        <v>-0.29599999999999982</v>
      </c>
      <c r="R99">
        <v>0</v>
      </c>
      <c r="S99">
        <v>10.936132999999998</v>
      </c>
      <c r="T99" t="s">
        <v>50</v>
      </c>
      <c r="U99">
        <f>VLOOKUP(S99,PGA!$A$2:$B$92,2,TRUE)-1</f>
        <v>0.996</v>
      </c>
      <c r="V99">
        <v>0</v>
      </c>
    </row>
    <row r="100" spans="1:26" x14ac:dyDescent="0.3">
      <c r="A100" s="3">
        <v>43588.5</v>
      </c>
      <c r="B100" t="s">
        <v>55</v>
      </c>
      <c r="C100">
        <v>15</v>
      </c>
      <c r="D100" s="13">
        <v>4</v>
      </c>
      <c r="E100">
        <f t="shared" si="3"/>
        <v>-6.0000000000000053E-2</v>
      </c>
      <c r="G100">
        <v>351.04986929999995</v>
      </c>
      <c r="H100" t="s">
        <v>68</v>
      </c>
      <c r="I100">
        <f>VLOOKUP(G100,PGA!$P$2:$Q$470,2,TRUE)-(VLOOKUP(K100,PGA!$G$2:$H$555,2,TRUE))-1</f>
        <v>0.35000000000000009</v>
      </c>
      <c r="J100">
        <v>0</v>
      </c>
      <c r="K100">
        <v>20.778652699999999</v>
      </c>
      <c r="L100" t="s">
        <v>47</v>
      </c>
      <c r="M100">
        <f>VLOOKUP(K100,PGA!$G$2:$H$555,2,TRUE)-(VLOOKUP(O100,PGA!$A$2:$B$92,2,TRUE))-1</f>
        <v>2.9999999999999805E-2</v>
      </c>
      <c r="N100">
        <v>0</v>
      </c>
      <c r="O100">
        <v>3.2808398999999997</v>
      </c>
      <c r="P100" t="s">
        <v>50</v>
      </c>
      <c r="Q100">
        <f>VLOOKUP(O100,PGA!$A$2:$B$92,2,TRUE)-(VLOOKUP(S100,PGA!$A$2:$B$92,2,TRUE))-1</f>
        <v>-0.48</v>
      </c>
      <c r="R100">
        <v>0</v>
      </c>
      <c r="S100">
        <v>1.0936132999999999</v>
      </c>
      <c r="T100" t="s">
        <v>50</v>
      </c>
      <c r="U100">
        <f>VLOOKUP(S100,PGA!$A$2:$B$92,2,TRUE)-1</f>
        <v>4.0000000000000036E-2</v>
      </c>
      <c r="V100">
        <v>0</v>
      </c>
    </row>
    <row r="101" spans="1:26" x14ac:dyDescent="0.3">
      <c r="A101" s="3">
        <v>43588.5</v>
      </c>
      <c r="B101" t="s">
        <v>55</v>
      </c>
      <c r="C101">
        <v>14</v>
      </c>
      <c r="D101" s="13">
        <v>3</v>
      </c>
      <c r="E101">
        <f t="shared" si="3"/>
        <v>4.9999999999999822E-2</v>
      </c>
      <c r="G101">
        <v>170.60367479999999</v>
      </c>
      <c r="H101" t="s">
        <v>68</v>
      </c>
      <c r="I101">
        <f>VLOOKUP(G101,PGA!$P$2:$Q$470,2,TRUE)-(VLOOKUP(K101,PGA!$D$2:$E$5557,2,TRUE))-1</f>
        <v>2.0000000000000018E-2</v>
      </c>
      <c r="J101">
        <v>0</v>
      </c>
      <c r="K101">
        <v>8.7489063999999992</v>
      </c>
      <c r="L101" t="s">
        <v>48</v>
      </c>
      <c r="M101">
        <f>VLOOKUP(K101,PGA!$D$2:$E$555,2,TRUE)-(VLOOKUP(O101,PGA!$A$2:$B$92,2,TRUE))-1</f>
        <v>-0.53000000000000025</v>
      </c>
      <c r="N101">
        <v>0</v>
      </c>
      <c r="O101">
        <v>3.2808398999999997</v>
      </c>
      <c r="P101" t="s">
        <v>50</v>
      </c>
      <c r="Q101">
        <f>VLOOKUP(O101,PGA!$A$2:$B$92,2,TRUE)-1</f>
        <v>0.56000000000000005</v>
      </c>
      <c r="R101">
        <v>0</v>
      </c>
    </row>
    <row r="102" spans="1:26" x14ac:dyDescent="0.3">
      <c r="A102" s="3">
        <v>43588.5</v>
      </c>
      <c r="B102" t="s">
        <v>55</v>
      </c>
      <c r="C102">
        <v>13</v>
      </c>
      <c r="D102" s="13">
        <v>4</v>
      </c>
      <c r="E102">
        <f t="shared" si="3"/>
        <v>-8.0000000000000071E-2</v>
      </c>
      <c r="G102">
        <v>332.45844319999998</v>
      </c>
      <c r="H102" t="s">
        <v>68</v>
      </c>
      <c r="I102">
        <f>VLOOKUP(G102,PGA!$P$2:$Q$470,2,TRUE)-(VLOOKUP(K102,PGA!$D$2:$E$5557,2,TRUE))-1</f>
        <v>-6.0000000000000053E-2</v>
      </c>
      <c r="J102">
        <v>0</v>
      </c>
      <c r="K102">
        <v>152.01224869999999</v>
      </c>
      <c r="L102" t="s">
        <v>48</v>
      </c>
      <c r="M102">
        <f>VLOOKUP(K102,PGA!$D$2:$E$555,2,TRUE)-(VLOOKUP(O102,PGA!$A$2:$B$92,2,TRUE))-1</f>
        <v>0.41999999999999993</v>
      </c>
      <c r="N102">
        <v>0</v>
      </c>
      <c r="O102">
        <v>3.2808398999999997</v>
      </c>
      <c r="P102" t="s">
        <v>50</v>
      </c>
      <c r="Q102">
        <f>VLOOKUP(O102,PGA!$A$2:$B$92,2,TRUE)-(VLOOKUP(S102,PGA!$A$2:$B$92,2,TRUE))-1</f>
        <v>-0.48</v>
      </c>
      <c r="R102">
        <v>0</v>
      </c>
      <c r="S102">
        <v>1.0936132999999999</v>
      </c>
      <c r="T102" t="s">
        <v>50</v>
      </c>
      <c r="U102">
        <f>VLOOKUP(S102,PGA!$A$2:$B$92,2,TRUE)-1</f>
        <v>4.0000000000000036E-2</v>
      </c>
      <c r="V102">
        <v>0</v>
      </c>
    </row>
    <row r="103" spans="1:26" x14ac:dyDescent="0.3">
      <c r="A103" s="3">
        <v>43588.5</v>
      </c>
      <c r="B103" t="s">
        <v>55</v>
      </c>
      <c r="C103">
        <v>12</v>
      </c>
      <c r="D103" s="13">
        <v>3</v>
      </c>
      <c r="E103">
        <f t="shared" si="3"/>
        <v>0.82500000000000018</v>
      </c>
      <c r="G103">
        <v>309.49256389999999</v>
      </c>
      <c r="H103" t="s">
        <v>68</v>
      </c>
      <c r="I103">
        <f>VLOOKUP(G103,PGA!$P$2:$Q$470,2,TRUE)-(VLOOKUP(K103,PGA!$D$2:$E$5557,2,TRUE))-1</f>
        <v>0.79500000000000037</v>
      </c>
      <c r="J103">
        <v>0</v>
      </c>
      <c r="K103">
        <v>8.7489063999999992</v>
      </c>
      <c r="L103" t="s">
        <v>48</v>
      </c>
      <c r="M103">
        <f>VLOOKUP(K103,PGA!$D$2:$E$555,2,TRUE)-(VLOOKUP(O103,PGA!$A$2:$B$92,2,TRUE))-1</f>
        <v>-1.0000000000000231E-2</v>
      </c>
      <c r="N103">
        <v>0</v>
      </c>
      <c r="O103">
        <v>1.0936132999999999</v>
      </c>
      <c r="P103" t="s">
        <v>50</v>
      </c>
      <c r="Q103">
        <f>VLOOKUP(O103,PGA!$A$2:$B$92,2,TRUE)-1</f>
        <v>4.0000000000000036E-2</v>
      </c>
      <c r="R103">
        <v>0</v>
      </c>
    </row>
    <row r="104" spans="1:26" x14ac:dyDescent="0.3">
      <c r="A104" s="3">
        <v>43588.5</v>
      </c>
      <c r="B104" t="s">
        <v>55</v>
      </c>
      <c r="C104">
        <v>11</v>
      </c>
      <c r="D104" s="13">
        <v>3</v>
      </c>
      <c r="E104">
        <f t="shared" si="3"/>
        <v>4.9999999999999822E-2</v>
      </c>
      <c r="G104">
        <v>166.22922159999999</v>
      </c>
      <c r="H104" t="s">
        <v>68</v>
      </c>
      <c r="I104">
        <f>VLOOKUP(G104,PGA!$P$2:$Q$470,2,TRUE)-(VLOOKUP(K104,PGA!$D$2:$E$5557,2,TRUE))-1</f>
        <v>-0.24000000000000021</v>
      </c>
      <c r="J104">
        <v>0</v>
      </c>
      <c r="K104">
        <v>17.497812799999998</v>
      </c>
      <c r="L104" t="s">
        <v>48</v>
      </c>
      <c r="M104">
        <f>VLOOKUP(K104,PGA!$D$2:$E$555,2,TRUE)-(VLOOKUP(O104,PGA!$A$2:$B$92,2,TRUE))-1</f>
        <v>0.25</v>
      </c>
      <c r="N104">
        <v>0</v>
      </c>
      <c r="O104">
        <v>1.0936132999999999</v>
      </c>
      <c r="P104" t="s">
        <v>50</v>
      </c>
      <c r="Q104">
        <f>VLOOKUP(O104,PGA!$A$2:$B$92,2,TRUE)-1</f>
        <v>4.0000000000000036E-2</v>
      </c>
      <c r="R104">
        <v>0</v>
      </c>
    </row>
    <row r="105" spans="1:26" x14ac:dyDescent="0.3">
      <c r="A105" s="3">
        <v>43588.5</v>
      </c>
      <c r="B105" t="s">
        <v>55</v>
      </c>
      <c r="C105">
        <v>10</v>
      </c>
      <c r="D105" s="13">
        <v>4</v>
      </c>
      <c r="E105">
        <f t="shared" si="3"/>
        <v>8.0000000000000071E-2</v>
      </c>
      <c r="G105">
        <v>403.54330769999996</v>
      </c>
      <c r="H105" t="s">
        <v>68</v>
      </c>
      <c r="I105">
        <f>VLOOKUP(G105,PGA!$P$2:$Q$470,2,TRUE)-(VLOOKUP(K105,PGA!$D$2:$E$5557,2,TRUE))-1</f>
        <v>0.22999999999999998</v>
      </c>
      <c r="J105">
        <v>0</v>
      </c>
      <c r="K105">
        <v>120.29746299999999</v>
      </c>
      <c r="L105" t="s">
        <v>48</v>
      </c>
      <c r="M105">
        <f>VLOOKUP(K105,PGA!$D$2:$E$555,2,TRUE)-(VLOOKUP(O105,PGA!$A$2:$B$92,2,TRUE))-1</f>
        <v>-2.0000000000000018E-3</v>
      </c>
      <c r="N105">
        <v>0</v>
      </c>
      <c r="O105">
        <v>6.5616797999999994</v>
      </c>
      <c r="P105" t="s">
        <v>50</v>
      </c>
      <c r="Q105">
        <f>VLOOKUP(O105,PGA!$A$2:$B$92,2,TRUE)-(VLOOKUP(S105,PGA!$A$2:$B$92,2,TRUE))-1</f>
        <v>-0.18799999999999994</v>
      </c>
      <c r="R105">
        <v>0</v>
      </c>
      <c r="S105">
        <v>1.0936132999999999</v>
      </c>
      <c r="T105" t="s">
        <v>50</v>
      </c>
      <c r="U105">
        <f>VLOOKUP(S105,PGA!$A$2:$B$92,2,TRUE)-1</f>
        <v>4.0000000000000036E-2</v>
      </c>
      <c r="V105">
        <v>0</v>
      </c>
    </row>
    <row r="106" spans="1:26" x14ac:dyDescent="0.3">
      <c r="A106" s="3">
        <v>43588.5</v>
      </c>
      <c r="B106" t="s">
        <v>55</v>
      </c>
      <c r="C106">
        <v>9</v>
      </c>
      <c r="D106" s="13">
        <v>3</v>
      </c>
      <c r="E106">
        <f t="shared" si="3"/>
        <v>0.16999999999999993</v>
      </c>
      <c r="G106">
        <v>207.78652699999998</v>
      </c>
      <c r="H106" t="s">
        <v>68</v>
      </c>
      <c r="I106">
        <f>VLOOKUP(G106,PGA!$P$2:$Q$470,2,TRUE)-(VLOOKUP(K106,PGA!$A$2:$B$92,2,TRUE))-1</f>
        <v>0.45799999999999996</v>
      </c>
      <c r="J106">
        <v>0</v>
      </c>
      <c r="K106">
        <v>4.3744531999999996</v>
      </c>
      <c r="L106" t="s">
        <v>50</v>
      </c>
      <c r="M106">
        <f>VLOOKUP(K106,PGA!$A$2:$B$92,2,TRUE)-(VLOOKUP(O106,PGA!$A$2:$B$92,2,TRUE))-1</f>
        <v>-0.29800000000000004</v>
      </c>
      <c r="N106">
        <v>0</v>
      </c>
      <c r="O106">
        <v>0.33333333333333331</v>
      </c>
      <c r="P106" t="s">
        <v>50</v>
      </c>
      <c r="Q106">
        <f>VLOOKUP(O106,PGA!$A$2:$B$92,2,TRUE)-1</f>
        <v>1.0000000000000009E-2</v>
      </c>
      <c r="R106">
        <v>0</v>
      </c>
    </row>
    <row r="107" spans="1:26" x14ac:dyDescent="0.3">
      <c r="A107" s="3">
        <v>43588.5</v>
      </c>
      <c r="B107" t="s">
        <v>55</v>
      </c>
      <c r="C107">
        <v>8</v>
      </c>
      <c r="D107" s="13">
        <v>5</v>
      </c>
      <c r="E107">
        <f t="shared" si="3"/>
        <v>-0.77500000000000036</v>
      </c>
      <c r="G107">
        <v>434.16448009999993</v>
      </c>
      <c r="H107" t="s">
        <v>68</v>
      </c>
      <c r="I107">
        <f>VLOOKUP(G107,PGA!$P$2:$Q$470,2,TRUE)-(VLOOKUP(K107,PGA!$D$2:$E$5557,2,TRUE))-1</f>
        <v>-9.5000000000000195E-2</v>
      </c>
      <c r="J107">
        <v>0</v>
      </c>
      <c r="K107">
        <v>202.31846049999999</v>
      </c>
      <c r="L107" t="s">
        <v>48</v>
      </c>
      <c r="M107">
        <f>VLOOKUP(K107,PGA!$D$2:$E$555,2,TRUE)-(VLOOKUP(O107,PGA!$J$2:$K$555,2,TRUE))-1</f>
        <v>-0.5</v>
      </c>
      <c r="N107">
        <v>0</v>
      </c>
      <c r="O107">
        <v>54.680664999999998</v>
      </c>
      <c r="P107" t="s">
        <v>49</v>
      </c>
      <c r="Q107">
        <f>VLOOKUP(O107,PGA!$J$2:$DH$555,2,TRUE)-(VLOOKUP(S107,PGA!$A$2:$B$92,2,TRUE))-1</f>
        <v>-0.28800000000000026</v>
      </c>
      <c r="R107">
        <v>0</v>
      </c>
      <c r="S107">
        <v>15.310586199999999</v>
      </c>
      <c r="T107" t="s">
        <v>50</v>
      </c>
      <c r="U107">
        <f>VLOOKUP(S107,PGA!$A$2:$B$92,2,TRUE)-(VLOOKUP(W107,PGA!$A$2:$B$92,2,TRUE))-1</f>
        <v>6.800000000000006E-2</v>
      </c>
      <c r="V107">
        <v>0</v>
      </c>
      <c r="W107">
        <v>1.0936132999999999</v>
      </c>
      <c r="X107" t="s">
        <v>50</v>
      </c>
      <c r="Y107">
        <f>VLOOKUP(W107,PGA!$A$2:$B$92,2,TRUE)-1</f>
        <v>4.0000000000000036E-2</v>
      </c>
      <c r="Z107">
        <v>0</v>
      </c>
    </row>
    <row r="108" spans="1:26" x14ac:dyDescent="0.3">
      <c r="A108" s="3">
        <v>43588.5</v>
      </c>
      <c r="B108" t="s">
        <v>55</v>
      </c>
      <c r="C108">
        <v>7</v>
      </c>
      <c r="D108" s="13">
        <v>4</v>
      </c>
      <c r="E108">
        <f t="shared" si="3"/>
        <v>0.59750000000000014</v>
      </c>
      <c r="G108">
        <v>486.65791849999994</v>
      </c>
      <c r="H108" t="s">
        <v>68</v>
      </c>
      <c r="I108">
        <f>VLOOKUP(G108,PGA!$P$2:$Q$470,2,TRUE)-(VLOOKUP(K108,PGA!$D$2:$E$5557,2,TRUE))-1</f>
        <v>0.4075000000000002</v>
      </c>
      <c r="J108">
        <v>0</v>
      </c>
      <c r="K108">
        <v>196.85039399999999</v>
      </c>
      <c r="L108" t="s">
        <v>48</v>
      </c>
      <c r="M108">
        <f>VLOOKUP(K108,PGA!$D$2:$E$555,2,TRUE)-(VLOOKUP(O108,PGA!$J$2:$K$555,2,TRUE))-1</f>
        <v>-1.0500000000000003</v>
      </c>
      <c r="N108">
        <v>0</v>
      </c>
      <c r="O108">
        <v>85.301837399999997</v>
      </c>
      <c r="P108" t="s">
        <v>49</v>
      </c>
      <c r="Q108">
        <f>VLOOKUP(O108,PGA!$J$2:$DH$555,2,TRUE)-(VLOOKUP(S108,PGA!$A$2:$B$92,2,TRUE))-1</f>
        <v>0.38800000000000012</v>
      </c>
      <c r="R108">
        <v>0</v>
      </c>
      <c r="S108">
        <v>6.5616797999999994</v>
      </c>
      <c r="T108" t="s">
        <v>50</v>
      </c>
      <c r="U108">
        <f>VLOOKUP(S108,PGA!$A$2:$B$92,2,TRUE)-1</f>
        <v>0.85200000000000009</v>
      </c>
      <c r="V108">
        <v>0</v>
      </c>
    </row>
    <row r="109" spans="1:26" x14ac:dyDescent="0.3">
      <c r="A109" s="3">
        <v>43588.5</v>
      </c>
      <c r="B109" t="s">
        <v>55</v>
      </c>
      <c r="C109">
        <v>6</v>
      </c>
      <c r="D109" s="13">
        <v>5</v>
      </c>
      <c r="E109">
        <f t="shared" si="3"/>
        <v>-0.17999999999999972</v>
      </c>
      <c r="G109">
        <v>575.24059579999994</v>
      </c>
      <c r="H109" t="s">
        <v>68</v>
      </c>
      <c r="I109">
        <f>VLOOKUP(G109,PGA!$P$2:$Q$470,2,TRUE)-(VLOOKUP(K109,PGA!$D$2:$E$5557,2,TRUE))-1</f>
        <v>-5.9999999999999609E-2</v>
      </c>
      <c r="J109">
        <v>0</v>
      </c>
      <c r="K109">
        <v>317.14785699999999</v>
      </c>
      <c r="L109" t="s">
        <v>48</v>
      </c>
      <c r="M109">
        <f>VLOOKUP(K109,PGA!$D$2:$E$555,2,TRUE)-(VLOOKUP(O109,PGA!$D$2:$E$5557,2,TRUE))-1</f>
        <v>0.12999999999999989</v>
      </c>
      <c r="N109">
        <v>0</v>
      </c>
      <c r="O109">
        <v>85.301837399999997</v>
      </c>
      <c r="P109" t="s">
        <v>48</v>
      </c>
      <c r="Q109">
        <f>VLOOKUP(O109,PGA!$D$2:$E$555,2,TRUE)-(VLOOKUP(S109,PGA!$D$2:$E$5557,2,TRUE))-1</f>
        <v>-1</v>
      </c>
      <c r="R109">
        <v>0</v>
      </c>
      <c r="S109">
        <v>75.4593177</v>
      </c>
      <c r="T109" t="s">
        <v>48</v>
      </c>
      <c r="U109">
        <f>VLOOKUP(S109,PGA!$D$2:$E$555,2,TRUE)-(VLOOKUP(W109,PGA!$A$2:$B$92,2,TRUE))-1</f>
        <v>0.71</v>
      </c>
      <c r="V109">
        <v>0</v>
      </c>
      <c r="W109">
        <v>1.0936132999999999</v>
      </c>
      <c r="X109" t="s">
        <v>50</v>
      </c>
      <c r="Y109">
        <f>VLOOKUP(W109,PGA!$A$2:$B$92,2,TRUE)-1</f>
        <v>4.0000000000000036E-2</v>
      </c>
      <c r="Z109">
        <v>0</v>
      </c>
    </row>
    <row r="110" spans="1:26" x14ac:dyDescent="0.3">
      <c r="A110" s="3">
        <v>43588.5</v>
      </c>
      <c r="B110" t="s">
        <v>55</v>
      </c>
      <c r="C110">
        <v>5</v>
      </c>
      <c r="D110" s="13">
        <v>4</v>
      </c>
      <c r="E110">
        <f t="shared" si="3"/>
        <v>8.3000000000000185E-2</v>
      </c>
      <c r="G110">
        <v>399.16885449999995</v>
      </c>
      <c r="H110" t="s">
        <v>68</v>
      </c>
      <c r="I110">
        <f>VLOOKUP(G110,PGA!$P$2:$Q$470,2,TRUE)-(VLOOKUP(K110,PGA!$D$2:$E$5557,2,TRUE))-1</f>
        <v>0.1030000000000002</v>
      </c>
      <c r="J110">
        <v>0</v>
      </c>
      <c r="K110">
        <v>147.63779549999998</v>
      </c>
      <c r="L110" t="s">
        <v>48</v>
      </c>
      <c r="M110">
        <f>VLOOKUP(K110,PGA!$D$2:$E$555,2,TRUE)-(VLOOKUP(O110,PGA!$D$2:$E$5557,2,TRUE))-1</f>
        <v>-0.20000000000000018</v>
      </c>
      <c r="N110">
        <v>0</v>
      </c>
      <c r="O110">
        <v>10.936132999999998</v>
      </c>
      <c r="P110" t="s">
        <v>48</v>
      </c>
      <c r="Q110">
        <f>VLOOKUP(O110,PGA!$D$2:$E$555,2,TRUE)-(VLOOKUP(S110,PGA!$A$2:$B$92,2,TRUE))-1</f>
        <v>-0.15999999999999992</v>
      </c>
      <c r="R110">
        <v>0</v>
      </c>
      <c r="S110">
        <v>2.1872265999999998</v>
      </c>
      <c r="T110" t="s">
        <v>50</v>
      </c>
      <c r="U110">
        <f>VLOOKUP(S110,PGA!$A$2:$B$92,2,TRUE)-1</f>
        <v>0.34000000000000008</v>
      </c>
      <c r="V110">
        <v>0</v>
      </c>
    </row>
    <row r="111" spans="1:26" x14ac:dyDescent="0.3">
      <c r="A111" s="3">
        <v>43588.5</v>
      </c>
      <c r="B111" t="s">
        <v>55</v>
      </c>
      <c r="C111">
        <v>4</v>
      </c>
      <c r="D111" s="13">
        <v>5</v>
      </c>
      <c r="E111">
        <f t="shared" si="3"/>
        <v>-0.65500000000000025</v>
      </c>
      <c r="G111">
        <v>454.94313279999994</v>
      </c>
      <c r="H111" t="s">
        <v>68</v>
      </c>
      <c r="I111">
        <f>VLOOKUP(G111,PGA!$P$2:$Q$470,2,TRUE)-(VLOOKUP(K111,PGA!$D$2:$E$5557,2,TRUE))-1</f>
        <v>0.43499999999999961</v>
      </c>
      <c r="J111">
        <v>0</v>
      </c>
      <c r="K111">
        <v>142.16972899999999</v>
      </c>
      <c r="L111" t="s">
        <v>48</v>
      </c>
      <c r="M111">
        <f>VLOOKUP(K111,PGA!$D$2:$E$555,2,TRUE)-(VLOOKUP(O111,PGA!$D$2:$E$5557,2,TRUE))-1</f>
        <v>-0.37999999999999989</v>
      </c>
      <c r="N111">
        <v>0</v>
      </c>
      <c r="O111">
        <v>14.216972899999998</v>
      </c>
      <c r="P111" t="s">
        <v>48</v>
      </c>
      <c r="Q111">
        <f>VLOOKUP(O111,PGA!$D$2:$E$555,2,TRUE)-(VLOOKUP(S111,PGA!$A$2:$B$92,2,TRUE))-1</f>
        <v>-0.64999999999999991</v>
      </c>
      <c r="R111">
        <v>0</v>
      </c>
      <c r="S111">
        <v>8.7489063999999992</v>
      </c>
      <c r="T111" t="s">
        <v>50</v>
      </c>
      <c r="U111">
        <f>VLOOKUP(S111,PGA!$A$2:$B$92,2,TRUE)-(VLOOKUP(W111,PGA!$A$2:$B$92,2,TRUE))-1</f>
        <v>-0.62000000000000011</v>
      </c>
      <c r="V111">
        <v>0</v>
      </c>
      <c r="W111">
        <v>3.2808398999999997</v>
      </c>
      <c r="X111" t="s">
        <v>50</v>
      </c>
      <c r="Y111">
        <f>VLOOKUP(W111,PGA!$A$2:$B$92,2,TRUE)-1</f>
        <v>0.56000000000000005</v>
      </c>
      <c r="Z111">
        <v>0</v>
      </c>
    </row>
    <row r="112" spans="1:26" x14ac:dyDescent="0.3">
      <c r="A112" s="3">
        <v>43588.5</v>
      </c>
      <c r="B112" t="s">
        <v>55</v>
      </c>
      <c r="C112">
        <v>3</v>
      </c>
      <c r="D112" s="13">
        <v>4</v>
      </c>
      <c r="E112">
        <f t="shared" si="3"/>
        <v>4.9999999999998934E-3</v>
      </c>
      <c r="G112">
        <v>378.39020179999994</v>
      </c>
      <c r="H112" t="s">
        <v>68</v>
      </c>
      <c r="I112">
        <f>VLOOKUP(G112,PGA!$P$2:$Q$470,2,TRUE)-(VLOOKUP(K112,PGA!$D$2:$E$5557,2,TRUE))-1</f>
        <v>0.20500000000000007</v>
      </c>
      <c r="J112">
        <v>0</v>
      </c>
      <c r="K112">
        <v>106.08049009999999</v>
      </c>
      <c r="L112" t="s">
        <v>48</v>
      </c>
      <c r="M112">
        <f>VLOOKUP(K112,PGA!$D$2:$E$555,2,TRUE)-(VLOOKUP(O112,PGA!$D$2:$E$5557,2,TRUE))-1</f>
        <v>-0.22999999999999998</v>
      </c>
      <c r="N112">
        <v>0</v>
      </c>
      <c r="O112">
        <v>7.6552930999999997</v>
      </c>
      <c r="P112" t="s">
        <v>48</v>
      </c>
      <c r="Q112">
        <f>VLOOKUP(O112,PGA!$D$2:$E$555,2,TRUE)-(VLOOKUP(S112,PGA!$A$2:$B$92,2,TRUE))-1</f>
        <v>-0.53000000000000025</v>
      </c>
      <c r="R112">
        <v>0</v>
      </c>
      <c r="S112">
        <v>3.2808398999999997</v>
      </c>
      <c r="T112" t="s">
        <v>50</v>
      </c>
      <c r="U112">
        <f>VLOOKUP(S112,PGA!$A$2:$B$92,2,TRUE)-1</f>
        <v>0.56000000000000005</v>
      </c>
      <c r="V112">
        <v>0</v>
      </c>
    </row>
    <row r="113" spans="1:26" x14ac:dyDescent="0.3">
      <c r="A113" s="3">
        <v>43588.5</v>
      </c>
      <c r="B113" t="s">
        <v>55</v>
      </c>
      <c r="C113">
        <v>2</v>
      </c>
      <c r="D113" s="13">
        <v>3</v>
      </c>
      <c r="E113">
        <f t="shared" si="3"/>
        <v>0.12000000000000011</v>
      </c>
      <c r="G113">
        <v>188.10148759999998</v>
      </c>
      <c r="H113" t="s">
        <v>68</v>
      </c>
      <c r="I113">
        <f>VLOOKUP(G113,PGA!$P$2:$Q$470,2,TRUE)-(VLOOKUP(K113,PGA!$D$2:$E$5557,2,TRUE))-1</f>
        <v>-6.0000000000000053E-2</v>
      </c>
      <c r="J113">
        <v>0</v>
      </c>
      <c r="K113">
        <v>12.029746299999999</v>
      </c>
      <c r="L113" t="s">
        <v>48</v>
      </c>
      <c r="M113">
        <f>VLOOKUP(K113,PGA!$D$2:$E$555,2,TRUE)-(VLOOKUP(O113,PGA!$A$2:$B$92,2,TRUE))-1</f>
        <v>0.17000000000000015</v>
      </c>
      <c r="N113">
        <v>0</v>
      </c>
      <c r="O113">
        <v>0.33333333333333331</v>
      </c>
      <c r="P113" t="s">
        <v>50</v>
      </c>
      <c r="Q113">
        <f>VLOOKUP(O113,PGA!$A$2:$B$92,2,TRUE)-1</f>
        <v>1.0000000000000009E-2</v>
      </c>
      <c r="R113">
        <v>0</v>
      </c>
    </row>
    <row r="114" spans="1:26" x14ac:dyDescent="0.3">
      <c r="A114" s="3">
        <v>43588.5</v>
      </c>
      <c r="B114" t="s">
        <v>55</v>
      </c>
      <c r="C114">
        <v>1</v>
      </c>
      <c r="D114" s="13">
        <v>4</v>
      </c>
      <c r="E114">
        <f t="shared" si="3"/>
        <v>8.0000000000000071E-2</v>
      </c>
      <c r="G114">
        <v>411.19860079999995</v>
      </c>
      <c r="H114" t="s">
        <v>68</v>
      </c>
      <c r="I114">
        <f>VLOOKUP(G114,PGA!$P$2:$Q$470,2,TRUE)-(VLOOKUP(K114,PGA!$D$2:$E$5557,2,TRUE))-1</f>
        <v>0.16999999999999993</v>
      </c>
      <c r="J114">
        <v>0</v>
      </c>
      <c r="K114">
        <v>129.04636939999997</v>
      </c>
      <c r="L114" t="s">
        <v>48</v>
      </c>
      <c r="M114">
        <f>VLOOKUP(K114,PGA!$D$2:$E$555,2,TRUE)-(VLOOKUP(O114,PGA!$A$2:$B$92,2,TRUE))-1</f>
        <v>0.78000000000000025</v>
      </c>
      <c r="N114">
        <v>0</v>
      </c>
      <c r="O114">
        <v>1.3333333333333333</v>
      </c>
      <c r="P114" t="s">
        <v>50</v>
      </c>
      <c r="Q114">
        <f>VLOOKUP(O114,PGA!$A$2:$B$92,2,TRUE)-(VLOOKUP(S114,PGA!$A$2:$B$92,2,TRUE))-1</f>
        <v>-0.88000000000000012</v>
      </c>
      <c r="R114">
        <v>0</v>
      </c>
      <c r="S114">
        <v>0.33333333333333331</v>
      </c>
      <c r="T114" t="s">
        <v>50</v>
      </c>
      <c r="U114">
        <f>VLOOKUP(S114,PGA!$A$2:$B$92,2,TRUE)-1</f>
        <v>1.0000000000000009E-2</v>
      </c>
      <c r="V114">
        <v>0</v>
      </c>
    </row>
    <row r="115" spans="1:26" x14ac:dyDescent="0.3">
      <c r="A115" s="3">
        <v>43584.583333333336</v>
      </c>
      <c r="B115" t="s">
        <v>54</v>
      </c>
      <c r="C115">
        <v>9</v>
      </c>
      <c r="D115" s="13">
        <v>4</v>
      </c>
      <c r="E115">
        <f t="shared" si="3"/>
        <v>-6.0000000000000053E-2</v>
      </c>
      <c r="G115">
        <v>354.33070919999994</v>
      </c>
      <c r="H115" t="s">
        <v>68</v>
      </c>
      <c r="I115">
        <f>VLOOKUP(G115,PGA!$P$2:$Q$470,2,TRUE)-(VLOOKUP(K115,PGA!$D$2:$E$5557,2,TRUE))-1</f>
        <v>0.14000000000000012</v>
      </c>
      <c r="J115">
        <v>0</v>
      </c>
      <c r="K115">
        <v>92.957130499999991</v>
      </c>
      <c r="L115" t="s">
        <v>48</v>
      </c>
      <c r="M115">
        <f>VLOOKUP(K115,PGA!$D$2:$E$555,2,TRUE)-(VLOOKUP(O115,PGA!$A$2:$B$92,2,TRUE))-1</f>
        <v>-0.14000000000000012</v>
      </c>
      <c r="N115">
        <v>0</v>
      </c>
      <c r="O115">
        <v>8.7489063999999992</v>
      </c>
      <c r="P115" t="s">
        <v>50</v>
      </c>
      <c r="Q115">
        <f>VLOOKUP(O115,PGA!$A$2:$B$92,2,TRUE)-(VLOOKUP(S115,PGA!$A$2:$B$92,2,TRUE))-1</f>
        <v>-0.10000000000000009</v>
      </c>
      <c r="R115">
        <v>0</v>
      </c>
      <c r="S115">
        <v>1.0936132999999999</v>
      </c>
      <c r="T115" t="s">
        <v>50</v>
      </c>
      <c r="U115">
        <f>VLOOKUP(S115,PGA!$A$2:$B$92,2,TRUE)-1</f>
        <v>4.0000000000000036E-2</v>
      </c>
      <c r="V115">
        <v>0</v>
      </c>
    </row>
    <row r="116" spans="1:26" x14ac:dyDescent="0.3">
      <c r="A116" s="3">
        <v>43584.583333333336</v>
      </c>
      <c r="B116" t="s">
        <v>54</v>
      </c>
      <c r="C116">
        <v>8</v>
      </c>
      <c r="D116" s="13">
        <v>4</v>
      </c>
      <c r="E116">
        <f t="shared" si="3"/>
        <v>4.9999999999998934E-3</v>
      </c>
      <c r="G116">
        <v>381.67104169999999</v>
      </c>
      <c r="H116" t="s">
        <v>68</v>
      </c>
      <c r="I116">
        <f>VLOOKUP(G116,PGA!$P$2:$Q$470,2,TRUE)-(VLOOKUP(K116,PGA!$D$2:$E$5557,2,TRUE))-1</f>
        <v>2.4999999999999911E-2</v>
      </c>
      <c r="J116">
        <v>0</v>
      </c>
      <c r="K116">
        <v>153.10586199999997</v>
      </c>
      <c r="L116" t="s">
        <v>48</v>
      </c>
      <c r="M116">
        <f>VLOOKUP(K116,PGA!$D$2:$E$555,2,TRUE)-(VLOOKUP(O116,PGA!$A$2:$B$92,2,TRUE))-1</f>
        <v>1.0000000000000009E-2</v>
      </c>
      <c r="N116">
        <v>0</v>
      </c>
      <c r="O116">
        <v>9.8425196999999987</v>
      </c>
      <c r="P116" t="s">
        <v>50</v>
      </c>
      <c r="Q116">
        <f>VLOOKUP(O116,PGA!$A$2:$B$92,2,TRUE)-(VLOOKUP(S116,PGA!$A$2:$B$92,2,TRUE))-1</f>
        <v>-0.74199999999999999</v>
      </c>
      <c r="R116">
        <v>0</v>
      </c>
      <c r="S116">
        <v>4.3744531999999996</v>
      </c>
      <c r="T116" t="s">
        <v>50</v>
      </c>
      <c r="U116">
        <f>VLOOKUP(S116,PGA!$A$2:$B$92,2,TRUE)-1</f>
        <v>0.71199999999999997</v>
      </c>
      <c r="V116">
        <v>0</v>
      </c>
    </row>
    <row r="117" spans="1:26" x14ac:dyDescent="0.3">
      <c r="A117" s="3">
        <v>43584.583333333336</v>
      </c>
      <c r="B117" t="s">
        <v>54</v>
      </c>
      <c r="C117">
        <v>7</v>
      </c>
      <c r="D117" s="13">
        <v>3</v>
      </c>
      <c r="E117">
        <f t="shared" si="3"/>
        <v>0.82500000000000018</v>
      </c>
      <c r="G117">
        <v>308.39895059999998</v>
      </c>
      <c r="H117" t="s">
        <v>68</v>
      </c>
      <c r="I117">
        <f>VLOOKUP(G117,PGA!$P$2:$Q$470,2,TRUE)-(VLOOKUP(K117,PGA!$J$2:$K$555,2,TRUE))-1</f>
        <v>-0.32499999999999973</v>
      </c>
      <c r="J117">
        <v>0</v>
      </c>
      <c r="K117">
        <v>63.429571399999993</v>
      </c>
      <c r="L117" t="s">
        <v>49</v>
      </c>
      <c r="M117">
        <f>VLOOKUP(K117,PGA!$J$2:$DH$555,2,TRUE)-(VLOOKUP(O117,PGA!$A$2:$B$92,2,TRUE))-1</f>
        <v>0.80999999999999983</v>
      </c>
      <c r="N117">
        <v>0</v>
      </c>
      <c r="O117">
        <v>2.1872265999999998</v>
      </c>
      <c r="P117" t="s">
        <v>50</v>
      </c>
      <c r="Q117">
        <f>VLOOKUP(O117,PGA!$A$2:$B$92,2,TRUE)-1</f>
        <v>0.34000000000000008</v>
      </c>
      <c r="R117">
        <v>0</v>
      </c>
    </row>
    <row r="118" spans="1:26" x14ac:dyDescent="0.3">
      <c r="A118" s="3">
        <v>43584.583333333336</v>
      </c>
      <c r="B118" t="s">
        <v>54</v>
      </c>
      <c r="C118">
        <v>6</v>
      </c>
      <c r="D118" s="13">
        <v>5</v>
      </c>
      <c r="E118">
        <f t="shared" si="3"/>
        <v>-0.34999999999999964</v>
      </c>
      <c r="G118">
        <v>500.87489139999997</v>
      </c>
      <c r="H118" t="s">
        <v>68</v>
      </c>
      <c r="I118">
        <f>VLOOKUP(G118,PGA!$P$2:$Q$470,2,TRUE)-(VLOOKUP(K118,PGA!$D$2:$E$5557,2,TRUE))-1</f>
        <v>0.33000000000000052</v>
      </c>
      <c r="J118">
        <v>0</v>
      </c>
      <c r="K118">
        <v>205.59930039999998</v>
      </c>
      <c r="L118" t="s">
        <v>48</v>
      </c>
      <c r="M118">
        <f>VLOOKUP(K118,PGA!$D$2:$E$555,2,TRUE)-(VLOOKUP(O118,PGA!$D$2:$E$5557,2,TRUE))-1</f>
        <v>2.9999999999999805E-2</v>
      </c>
      <c r="N118">
        <v>0</v>
      </c>
      <c r="O118">
        <v>15.310586199999999</v>
      </c>
      <c r="P118" t="s">
        <v>48</v>
      </c>
      <c r="Q118">
        <f>VLOOKUP(O118,PGA!$D$2:$E$555,2,TRUE)-(VLOOKUP(S118,PGA!$A$2:$B$92,2,TRUE))-1</f>
        <v>-0.42199999999999993</v>
      </c>
      <c r="R118">
        <v>0</v>
      </c>
      <c r="S118">
        <v>4.3744531999999996</v>
      </c>
      <c r="T118" t="s">
        <v>50</v>
      </c>
      <c r="U118">
        <f>VLOOKUP(S118,PGA!$A$2:$B$92,2,TRUE)-(VLOOKUP(W118,PGA!$A$2:$B$92,2,TRUE))-1</f>
        <v>-0.32800000000000007</v>
      </c>
      <c r="V118">
        <v>0</v>
      </c>
      <c r="W118">
        <v>1.0936132999999999</v>
      </c>
      <c r="X118" t="s">
        <v>50</v>
      </c>
      <c r="Y118">
        <f>VLOOKUP(W118,PGA!$A$2:$B$92,2,TRUE)-1</f>
        <v>4.0000000000000036E-2</v>
      </c>
      <c r="Z118">
        <v>0</v>
      </c>
    </row>
    <row r="119" spans="1:26" x14ac:dyDescent="0.3">
      <c r="A119" s="3">
        <v>43584.583333333336</v>
      </c>
      <c r="B119" t="s">
        <v>54</v>
      </c>
      <c r="C119">
        <v>5</v>
      </c>
      <c r="D119" s="13">
        <v>5</v>
      </c>
      <c r="E119">
        <f t="shared" si="3"/>
        <v>-0.91999999999999993</v>
      </c>
      <c r="G119">
        <v>413.38582739999998</v>
      </c>
      <c r="H119" t="s">
        <v>68</v>
      </c>
      <c r="I119">
        <f>VLOOKUP(G119,PGA!$P$2:$Q$470,2,TRUE)-(VLOOKUP(K119,PGA!$D$2:$E$5557,2,TRUE))-1</f>
        <v>0.16999999999999993</v>
      </c>
      <c r="J119">
        <v>0</v>
      </c>
      <c r="K119">
        <v>129.04636939999997</v>
      </c>
      <c r="L119" t="s">
        <v>48</v>
      </c>
      <c r="M119">
        <f>VLOOKUP(K119,PGA!$D$2:$E$555,2,TRUE)-(VLOOKUP(O119,PGA!$D$2:$E$5557,2,TRUE))-1</f>
        <v>-0.27</v>
      </c>
      <c r="N119">
        <v>0</v>
      </c>
      <c r="O119">
        <v>12.029746299999999</v>
      </c>
      <c r="P119" t="s">
        <v>48</v>
      </c>
      <c r="Q119">
        <f>VLOOKUP(O119,PGA!$D$2:$E$555,2,TRUE)-(VLOOKUP(S119,PGA!$A$2:$B$92,2,TRUE))-1</f>
        <v>-0.61799999999999988</v>
      </c>
      <c r="R119">
        <v>0</v>
      </c>
      <c r="S119">
        <v>5.4680664999999991</v>
      </c>
      <c r="T119" t="s">
        <v>50</v>
      </c>
      <c r="U119">
        <f>VLOOKUP(S119,PGA!$A$2:$B$92,2,TRUE)-(VLOOKUP(W119,PGA!$A$2:$B$92,2,TRUE))-1</f>
        <v>-0.24199999999999999</v>
      </c>
      <c r="V119">
        <v>0</v>
      </c>
      <c r="W119">
        <v>1.0936132999999999</v>
      </c>
      <c r="X119" t="s">
        <v>50</v>
      </c>
      <c r="Y119">
        <f>VLOOKUP(W119,PGA!$A$2:$B$92,2,TRUE)-1</f>
        <v>4.0000000000000036E-2</v>
      </c>
      <c r="Z119">
        <v>0</v>
      </c>
    </row>
    <row r="120" spans="1:26" x14ac:dyDescent="0.3">
      <c r="A120" s="3">
        <v>43584.583333333336</v>
      </c>
      <c r="B120" t="s">
        <v>54</v>
      </c>
      <c r="C120">
        <v>4</v>
      </c>
      <c r="D120" s="13">
        <v>5</v>
      </c>
      <c r="E120">
        <f t="shared" si="3"/>
        <v>-0.20999999999999996</v>
      </c>
      <c r="G120">
        <v>534.77690369999993</v>
      </c>
      <c r="H120" t="s">
        <v>68</v>
      </c>
      <c r="I120">
        <f>VLOOKUP(G120,PGA!$P$2:$Q$470,2,TRUE)-(VLOOKUP(K120,PGA!$D$2:$E$5557,2,TRUE))-1</f>
        <v>0.4700000000000002</v>
      </c>
      <c r="J120">
        <v>0</v>
      </c>
      <c r="K120">
        <v>207.78652699999998</v>
      </c>
      <c r="L120" t="s">
        <v>48</v>
      </c>
      <c r="M120">
        <f>VLOOKUP(K120,PGA!$D$2:$E$555,2,TRUE)-(VLOOKUP(O120,PGA!$D$2:$E$5557,2,TRUE))-1</f>
        <v>-0.38000000000000034</v>
      </c>
      <c r="N120">
        <v>0</v>
      </c>
      <c r="O120">
        <v>63.429571399999993</v>
      </c>
      <c r="P120" t="s">
        <v>48</v>
      </c>
      <c r="Q120">
        <f>VLOOKUP(O120,PGA!$D$2:$E$555,2,TRUE)-(VLOOKUP(S120,PGA!$A$2:$B$92,2,TRUE))-1</f>
        <v>-0.46999999999999975</v>
      </c>
      <c r="R120">
        <v>0</v>
      </c>
      <c r="S120">
        <v>18.5914261</v>
      </c>
      <c r="T120" t="s">
        <v>50</v>
      </c>
      <c r="U120">
        <f>VLOOKUP(S120,PGA!$A$2:$B$92,2,TRUE)-(VLOOKUP(W120,PGA!$A$2:$B$92,2,TRUE))-1</f>
        <v>-0.68200000000000016</v>
      </c>
      <c r="V120">
        <v>0</v>
      </c>
      <c r="W120">
        <v>6.5616797999999994</v>
      </c>
      <c r="X120" t="s">
        <v>50</v>
      </c>
      <c r="Y120">
        <f>VLOOKUP(W120,PGA!$A$2:$B$92,2,TRUE)-1</f>
        <v>0.85200000000000009</v>
      </c>
      <c r="Z120">
        <v>0</v>
      </c>
    </row>
    <row r="121" spans="1:26" x14ac:dyDescent="0.3">
      <c r="A121" s="3">
        <v>43584.583333333336</v>
      </c>
      <c r="B121" t="s">
        <v>54</v>
      </c>
      <c r="C121">
        <v>3</v>
      </c>
      <c r="D121" s="13">
        <v>4</v>
      </c>
      <c r="E121">
        <f t="shared" si="3"/>
        <v>-1.02</v>
      </c>
      <c r="G121">
        <v>142.16972899999999</v>
      </c>
      <c r="H121" t="s">
        <v>68</v>
      </c>
      <c r="I121">
        <f>VLOOKUP(G121,PGA!$P$2:$Q$470,2,TRUE)-(VLOOKUP(K121,PGA!$A$2:$B$92,2,TRUE))-1</f>
        <v>-4.8000000000000043E-2</v>
      </c>
      <c r="J121">
        <v>0</v>
      </c>
      <c r="K121">
        <v>12.029746299999999</v>
      </c>
      <c r="L121" t="s">
        <v>50</v>
      </c>
      <c r="M121">
        <f>VLOOKUP(K121,PGA!$A$2:$B$92,2,TRUE)-(VLOOKUP(O121,PGA!$A$2:$B$92,2,TRUE))-1</f>
        <v>-0.53200000000000003</v>
      </c>
      <c r="N121">
        <v>0</v>
      </c>
      <c r="O121">
        <v>3.2808398999999997</v>
      </c>
      <c r="P121" t="s">
        <v>50</v>
      </c>
      <c r="Q121">
        <f>VLOOKUP(O121,PGA!$A$2:$B$92,2,TRUE)-(VLOOKUP(S121,PGA!$A$2:$B$92,2,TRUE))-1</f>
        <v>-0.48</v>
      </c>
      <c r="R121">
        <v>0</v>
      </c>
      <c r="S121">
        <v>1.0936132999999999</v>
      </c>
      <c r="T121" t="s">
        <v>50</v>
      </c>
      <c r="U121">
        <f>VLOOKUP(S121,PGA!$A$2:$B$92,2,TRUE)-1</f>
        <v>4.0000000000000036E-2</v>
      </c>
      <c r="V121">
        <v>0</v>
      </c>
    </row>
    <row r="122" spans="1:26" x14ac:dyDescent="0.3">
      <c r="A122" s="3">
        <v>43584.583333333336</v>
      </c>
      <c r="B122" t="s">
        <v>54</v>
      </c>
      <c r="C122">
        <v>2</v>
      </c>
      <c r="D122" s="13">
        <v>4</v>
      </c>
      <c r="E122">
        <f t="shared" si="3"/>
        <v>8.0000000000000071E-2</v>
      </c>
      <c r="G122">
        <v>412.29221409999997</v>
      </c>
      <c r="H122" t="s">
        <v>68</v>
      </c>
      <c r="I122">
        <f>VLOOKUP(G122,PGA!$P$2:$Q$470,2,TRUE)-(VLOOKUP(K122,PGA!$D$2:$E$5557,2,TRUE))-1</f>
        <v>0.16999999999999993</v>
      </c>
      <c r="J122">
        <v>0</v>
      </c>
      <c r="K122">
        <v>131.23359599999998</v>
      </c>
      <c r="L122" t="s">
        <v>48</v>
      </c>
      <c r="M122">
        <f>VLOOKUP(K122,PGA!$D$2:$E$555,2,TRUE)-(VLOOKUP(O122,PGA!$A$2:$B$92,2,TRUE))-1</f>
        <v>0.57000000000000006</v>
      </c>
      <c r="N122">
        <v>0</v>
      </c>
      <c r="O122">
        <v>2.1872265999999998</v>
      </c>
      <c r="P122" t="s">
        <v>50</v>
      </c>
      <c r="Q122">
        <f>VLOOKUP(O122,PGA!$A$2:$B$92,2,TRUE)-(VLOOKUP(S122,PGA!$A$2:$B$92,2,TRUE))-1</f>
        <v>-0.7</v>
      </c>
      <c r="R122">
        <v>0</v>
      </c>
      <c r="S122">
        <v>1.0936132999999999</v>
      </c>
      <c r="T122" t="s">
        <v>50</v>
      </c>
      <c r="U122">
        <f>VLOOKUP(S122,PGA!$A$2:$B$92,2,TRUE)-1</f>
        <v>4.0000000000000036E-2</v>
      </c>
      <c r="V122">
        <v>0</v>
      </c>
    </row>
    <row r="123" spans="1:26" x14ac:dyDescent="0.3">
      <c r="A123" s="3">
        <v>43584.583333333336</v>
      </c>
      <c r="B123" t="s">
        <v>54</v>
      </c>
      <c r="C123">
        <v>1</v>
      </c>
      <c r="D123" s="13">
        <v>3</v>
      </c>
      <c r="E123">
        <f t="shared" si="3"/>
        <v>-2.9999999999999805E-2</v>
      </c>
      <c r="G123">
        <v>136.7016625</v>
      </c>
      <c r="H123" t="s">
        <v>68</v>
      </c>
      <c r="I123">
        <f>VLOOKUP(G123,PGA!$P$2:$Q$470,2,TRUE)-(VLOOKUP(K123,PGA!$A$2:$B$92,2,TRUE))-1</f>
        <v>0.41000000000000014</v>
      </c>
      <c r="J123">
        <v>0</v>
      </c>
      <c r="K123">
        <v>3.2808398999999997</v>
      </c>
      <c r="L123" t="s">
        <v>50</v>
      </c>
      <c r="M123">
        <f>VLOOKUP(K123,PGA!$A$2:$B$92,2,TRUE)-(VLOOKUP(O123,PGA!$A$2:$B$92,2,TRUE))-1</f>
        <v>-0.44999999999999996</v>
      </c>
      <c r="N123">
        <v>0</v>
      </c>
      <c r="O123">
        <v>0.33333333333333331</v>
      </c>
      <c r="P123" t="s">
        <v>50</v>
      </c>
      <c r="Q123">
        <f>VLOOKUP(O123,PGA!$A$2:$B$92,2,TRUE)-1</f>
        <v>1.0000000000000009E-2</v>
      </c>
      <c r="R123">
        <v>0</v>
      </c>
    </row>
    <row r="124" spans="1:26" x14ac:dyDescent="0.3">
      <c r="A124" s="3"/>
      <c r="E124" s="4"/>
    </row>
    <row r="125" spans="1:26" x14ac:dyDescent="0.3">
      <c r="A125" s="3"/>
      <c r="E125" s="4"/>
    </row>
    <row r="126" spans="1:26" x14ac:dyDescent="0.3">
      <c r="A126" s="3"/>
      <c r="E126" s="4"/>
    </row>
    <row r="127" spans="1:26" x14ac:dyDescent="0.3">
      <c r="A127" s="3"/>
      <c r="E127" s="4"/>
    </row>
    <row r="128" spans="1:26" x14ac:dyDescent="0.3">
      <c r="A128" s="3"/>
      <c r="E128" s="4"/>
    </row>
    <row r="129" spans="1:5" x14ac:dyDescent="0.3">
      <c r="A129" s="3"/>
      <c r="E129" s="4"/>
    </row>
    <row r="130" spans="1:5" x14ac:dyDescent="0.3">
      <c r="A130" s="3"/>
      <c r="E130" s="4"/>
    </row>
    <row r="131" spans="1:5" x14ac:dyDescent="0.3">
      <c r="A131" s="3"/>
      <c r="E131" s="4"/>
    </row>
    <row r="132" spans="1:5" x14ac:dyDescent="0.3">
      <c r="A132" s="3"/>
      <c r="E132" s="4"/>
    </row>
    <row r="133" spans="1:5" x14ac:dyDescent="0.3">
      <c r="A133" s="3"/>
      <c r="E133" s="4"/>
    </row>
    <row r="134" spans="1:5" x14ac:dyDescent="0.3">
      <c r="A134" s="3"/>
      <c r="E134" s="4"/>
    </row>
    <row r="135" spans="1:5" x14ac:dyDescent="0.3">
      <c r="A135" s="3"/>
      <c r="E135" s="4"/>
    </row>
    <row r="136" spans="1:5" x14ac:dyDescent="0.3">
      <c r="A136" s="3"/>
      <c r="E136" s="4"/>
    </row>
    <row r="137" spans="1:5" x14ac:dyDescent="0.3">
      <c r="A137" s="3"/>
      <c r="E137" s="4"/>
    </row>
    <row r="138" spans="1:5" x14ac:dyDescent="0.3">
      <c r="A138" s="3"/>
      <c r="E138" s="4"/>
    </row>
    <row r="139" spans="1:5" x14ac:dyDescent="0.3">
      <c r="A139" s="3"/>
      <c r="E139" s="4"/>
    </row>
    <row r="140" spans="1:5" x14ac:dyDescent="0.3">
      <c r="A140" s="3"/>
      <c r="E140" s="4"/>
    </row>
    <row r="141" spans="1:5" x14ac:dyDescent="0.3">
      <c r="A141" s="3"/>
      <c r="E141" s="4"/>
    </row>
    <row r="142" spans="1:5" x14ac:dyDescent="0.3">
      <c r="A142" s="3"/>
      <c r="E142" s="4"/>
    </row>
    <row r="143" spans="1:5" x14ac:dyDescent="0.3">
      <c r="A143" s="3"/>
      <c r="E143" s="4"/>
    </row>
    <row r="144" spans="1:5" x14ac:dyDescent="0.3">
      <c r="A144" s="3"/>
      <c r="E144" s="4"/>
    </row>
    <row r="145" spans="1:5" x14ac:dyDescent="0.3">
      <c r="A145" s="3"/>
      <c r="E145" s="4"/>
    </row>
    <row r="146" spans="1:5" x14ac:dyDescent="0.3">
      <c r="A146" s="3"/>
      <c r="E146" s="4"/>
    </row>
    <row r="147" spans="1:5" x14ac:dyDescent="0.3">
      <c r="A147" s="3"/>
      <c r="E147" s="4"/>
    </row>
    <row r="148" spans="1:5" x14ac:dyDescent="0.3">
      <c r="A148" s="3"/>
      <c r="E148" s="4"/>
    </row>
    <row r="149" spans="1:5" x14ac:dyDescent="0.3">
      <c r="A149" s="3"/>
      <c r="E149" s="4"/>
    </row>
    <row r="150" spans="1:5" x14ac:dyDescent="0.3">
      <c r="A150" s="3"/>
      <c r="E150" s="4"/>
    </row>
    <row r="151" spans="1:5" x14ac:dyDescent="0.3">
      <c r="A151" s="3"/>
      <c r="E151" s="4"/>
    </row>
    <row r="152" spans="1:5" x14ac:dyDescent="0.3">
      <c r="A152" s="3"/>
      <c r="E152" s="4"/>
    </row>
    <row r="153" spans="1:5" x14ac:dyDescent="0.3">
      <c r="A153" s="3"/>
      <c r="E153" s="4"/>
    </row>
    <row r="154" spans="1:5" x14ac:dyDescent="0.3">
      <c r="A154" s="3"/>
      <c r="E154" s="4"/>
    </row>
    <row r="155" spans="1:5" x14ac:dyDescent="0.3">
      <c r="A155" s="3"/>
      <c r="E155" s="4"/>
    </row>
    <row r="156" spans="1:5" x14ac:dyDescent="0.3">
      <c r="A156" s="3"/>
      <c r="E156" s="4"/>
    </row>
    <row r="157" spans="1:5" x14ac:dyDescent="0.3">
      <c r="A157" s="3"/>
      <c r="E157" s="4"/>
    </row>
    <row r="158" spans="1:5" x14ac:dyDescent="0.3">
      <c r="A158" s="3"/>
      <c r="E158" s="4"/>
    </row>
    <row r="159" spans="1:5" x14ac:dyDescent="0.3">
      <c r="A159" s="3"/>
      <c r="E159" s="4"/>
    </row>
    <row r="160" spans="1:5" x14ac:dyDescent="0.3">
      <c r="A160" s="3"/>
      <c r="E160" s="4"/>
    </row>
    <row r="161" spans="1:5" x14ac:dyDescent="0.3">
      <c r="A161" s="3"/>
      <c r="E161" s="4"/>
    </row>
    <row r="162" spans="1:5" x14ac:dyDescent="0.3">
      <c r="A162" s="3"/>
      <c r="E162" s="4"/>
    </row>
    <row r="163" spans="1:5" x14ac:dyDescent="0.3">
      <c r="A163" s="3"/>
      <c r="E163" s="4"/>
    </row>
    <row r="164" spans="1:5" x14ac:dyDescent="0.3">
      <c r="A164" s="3"/>
      <c r="E164" s="4"/>
    </row>
    <row r="165" spans="1:5" x14ac:dyDescent="0.3">
      <c r="A165" s="3"/>
      <c r="E165" s="4"/>
    </row>
    <row r="166" spans="1:5" x14ac:dyDescent="0.3">
      <c r="A166" s="3"/>
      <c r="E166" s="4"/>
    </row>
    <row r="167" spans="1:5" x14ac:dyDescent="0.3">
      <c r="A167" s="3"/>
      <c r="E167" s="4"/>
    </row>
    <row r="168" spans="1:5" x14ac:dyDescent="0.3">
      <c r="A168" s="3"/>
      <c r="E168" s="4"/>
    </row>
    <row r="169" spans="1:5" x14ac:dyDescent="0.3">
      <c r="A169" s="3"/>
      <c r="E169" s="4"/>
    </row>
    <row r="170" spans="1:5" x14ac:dyDescent="0.3">
      <c r="A170" s="3"/>
      <c r="E170" s="4"/>
    </row>
    <row r="171" spans="1:5" x14ac:dyDescent="0.3">
      <c r="A171" s="3"/>
      <c r="E171" s="4"/>
    </row>
    <row r="172" spans="1:5" x14ac:dyDescent="0.3">
      <c r="A172" s="3"/>
      <c r="E172" s="4"/>
    </row>
    <row r="173" spans="1:5" x14ac:dyDescent="0.3">
      <c r="A173" s="3"/>
      <c r="E173" s="4"/>
    </row>
    <row r="174" spans="1:5" x14ac:dyDescent="0.3">
      <c r="A174" s="3"/>
      <c r="E174" s="4"/>
    </row>
    <row r="175" spans="1:5" x14ac:dyDescent="0.3">
      <c r="A175" s="3"/>
      <c r="E175" s="4"/>
    </row>
    <row r="176" spans="1:5" x14ac:dyDescent="0.3">
      <c r="A176" s="3"/>
      <c r="E176" s="4"/>
    </row>
    <row r="177" spans="1:5" x14ac:dyDescent="0.3">
      <c r="A177" s="3"/>
      <c r="E177" s="4"/>
    </row>
    <row r="178" spans="1:5" x14ac:dyDescent="0.3">
      <c r="A178" s="3"/>
      <c r="E178" s="4"/>
    </row>
    <row r="179" spans="1:5" x14ac:dyDescent="0.3">
      <c r="A179" s="3"/>
      <c r="E179" s="4"/>
    </row>
    <row r="180" spans="1:5" x14ac:dyDescent="0.3">
      <c r="A180" s="3"/>
      <c r="E180" s="4"/>
    </row>
    <row r="181" spans="1:5" x14ac:dyDescent="0.3">
      <c r="A181" s="3"/>
      <c r="E181" s="4"/>
    </row>
    <row r="182" spans="1:5" x14ac:dyDescent="0.3">
      <c r="A182" s="3"/>
      <c r="E182" s="4"/>
    </row>
    <row r="183" spans="1:5" x14ac:dyDescent="0.3">
      <c r="A183" s="3"/>
      <c r="E183" s="4"/>
    </row>
    <row r="184" spans="1:5" x14ac:dyDescent="0.3">
      <c r="A184" s="3"/>
      <c r="E184" s="4"/>
    </row>
    <row r="185" spans="1:5" x14ac:dyDescent="0.3">
      <c r="A185" s="3"/>
      <c r="E185" s="4"/>
    </row>
    <row r="186" spans="1:5" x14ac:dyDescent="0.3">
      <c r="A186" s="3"/>
      <c r="E186" s="4"/>
    </row>
    <row r="187" spans="1:5" x14ac:dyDescent="0.3">
      <c r="A187" s="3"/>
      <c r="E187" s="4"/>
    </row>
    <row r="188" spans="1:5" x14ac:dyDescent="0.3">
      <c r="A188" s="3"/>
      <c r="E188" s="4"/>
    </row>
    <row r="189" spans="1:5" x14ac:dyDescent="0.3">
      <c r="A189" s="3"/>
      <c r="E189" s="4"/>
    </row>
    <row r="190" spans="1:5" x14ac:dyDescent="0.3">
      <c r="A190" s="3"/>
      <c r="E190" s="4"/>
    </row>
    <row r="191" spans="1:5" x14ac:dyDescent="0.3">
      <c r="A191" s="3"/>
      <c r="E191" s="4"/>
    </row>
    <row r="192" spans="1:5" x14ac:dyDescent="0.3">
      <c r="A192" s="3"/>
      <c r="E192" s="4"/>
    </row>
    <row r="193" spans="1:5" x14ac:dyDescent="0.3">
      <c r="A193" s="3"/>
      <c r="E193" s="4"/>
    </row>
    <row r="194" spans="1:5" x14ac:dyDescent="0.3">
      <c r="A194" s="3"/>
      <c r="E194" s="4"/>
    </row>
    <row r="195" spans="1:5" x14ac:dyDescent="0.3">
      <c r="A195" s="3"/>
      <c r="E195" s="4"/>
    </row>
    <row r="196" spans="1:5" x14ac:dyDescent="0.3">
      <c r="A196" s="3"/>
      <c r="E196" s="4"/>
    </row>
    <row r="197" spans="1:5" x14ac:dyDescent="0.3">
      <c r="A197" s="3"/>
      <c r="E197" s="4"/>
    </row>
    <row r="198" spans="1:5" x14ac:dyDescent="0.3">
      <c r="A198" s="3"/>
      <c r="E198" s="4"/>
    </row>
    <row r="199" spans="1:5" x14ac:dyDescent="0.3">
      <c r="A199" s="3"/>
      <c r="E199" s="4"/>
    </row>
    <row r="200" spans="1:5" x14ac:dyDescent="0.3">
      <c r="A200" s="3"/>
      <c r="E200" s="4"/>
    </row>
    <row r="201" spans="1:5" x14ac:dyDescent="0.3">
      <c r="A201" s="3"/>
      <c r="E201" s="4"/>
    </row>
    <row r="202" spans="1:5" x14ac:dyDescent="0.3">
      <c r="A202" s="3"/>
      <c r="E202" s="4"/>
    </row>
    <row r="203" spans="1:5" x14ac:dyDescent="0.3">
      <c r="A203" s="3"/>
      <c r="E203" s="4"/>
    </row>
    <row r="204" spans="1:5" x14ac:dyDescent="0.3">
      <c r="A204" s="3"/>
      <c r="E204" s="4"/>
    </row>
    <row r="205" spans="1:5" x14ac:dyDescent="0.3">
      <c r="A205" s="3"/>
      <c r="E205" s="4"/>
    </row>
    <row r="206" spans="1:5" x14ac:dyDescent="0.3">
      <c r="A206" s="3"/>
      <c r="E206" s="4"/>
    </row>
    <row r="207" spans="1:5" x14ac:dyDescent="0.3">
      <c r="A207" s="3"/>
      <c r="E207" s="4"/>
    </row>
    <row r="208" spans="1:5" x14ac:dyDescent="0.3">
      <c r="A208" s="3"/>
      <c r="E208" s="4"/>
    </row>
    <row r="209" spans="1:5" x14ac:dyDescent="0.3">
      <c r="A209" s="3"/>
      <c r="E209" s="4"/>
    </row>
    <row r="210" spans="1:5" x14ac:dyDescent="0.3">
      <c r="A210" s="3"/>
      <c r="E210" s="4"/>
    </row>
    <row r="211" spans="1:5" x14ac:dyDescent="0.3">
      <c r="A211" s="3"/>
      <c r="E211" s="4"/>
    </row>
    <row r="212" spans="1:5" x14ac:dyDescent="0.3">
      <c r="A212" s="3"/>
      <c r="E212" s="4"/>
    </row>
    <row r="213" spans="1:5" x14ac:dyDescent="0.3">
      <c r="A213" s="3"/>
      <c r="E213" s="4"/>
    </row>
    <row r="214" spans="1:5" x14ac:dyDescent="0.3">
      <c r="A214" s="3"/>
      <c r="E214" s="4"/>
    </row>
    <row r="215" spans="1:5" x14ac:dyDescent="0.3">
      <c r="A215" s="3"/>
      <c r="E215" s="4"/>
    </row>
    <row r="216" spans="1:5" x14ac:dyDescent="0.3">
      <c r="A216" s="3"/>
      <c r="E216" s="4"/>
    </row>
    <row r="217" spans="1:5" x14ac:dyDescent="0.3">
      <c r="A217" s="3"/>
      <c r="E217" s="4"/>
    </row>
    <row r="218" spans="1:5" x14ac:dyDescent="0.3">
      <c r="A218" s="3"/>
      <c r="E218" s="4"/>
    </row>
    <row r="219" spans="1:5" x14ac:dyDescent="0.3">
      <c r="A219" s="3"/>
      <c r="E219" s="4"/>
    </row>
    <row r="220" spans="1:5" x14ac:dyDescent="0.3">
      <c r="A220" s="3"/>
      <c r="E220" s="4"/>
    </row>
    <row r="221" spans="1:5" x14ac:dyDescent="0.3">
      <c r="A221" s="3"/>
      <c r="E221" s="4"/>
    </row>
    <row r="222" spans="1:5" x14ac:dyDescent="0.3">
      <c r="A222" s="3"/>
      <c r="E222" s="4"/>
    </row>
    <row r="223" spans="1:5" x14ac:dyDescent="0.3">
      <c r="A223" s="3"/>
      <c r="E223" s="4"/>
    </row>
    <row r="224" spans="1:5" x14ac:dyDescent="0.3">
      <c r="A224" s="3"/>
      <c r="E224" s="4"/>
    </row>
    <row r="225" spans="1:5" x14ac:dyDescent="0.3">
      <c r="A225" s="3"/>
      <c r="E225" s="4"/>
    </row>
    <row r="226" spans="1:5" x14ac:dyDescent="0.3">
      <c r="A226" s="3"/>
      <c r="E226" s="4"/>
    </row>
    <row r="227" spans="1:5" x14ac:dyDescent="0.3">
      <c r="A227" s="3"/>
      <c r="E227" s="4"/>
    </row>
    <row r="228" spans="1:5" x14ac:dyDescent="0.3">
      <c r="A228" s="3"/>
      <c r="E228" s="4"/>
    </row>
    <row r="229" spans="1:5" x14ac:dyDescent="0.3">
      <c r="A229" s="3"/>
      <c r="E229" s="4"/>
    </row>
    <row r="230" spans="1:5" x14ac:dyDescent="0.3">
      <c r="A230" s="3"/>
      <c r="E230" s="4"/>
    </row>
    <row r="231" spans="1:5" x14ac:dyDescent="0.3">
      <c r="A231" s="3"/>
      <c r="E231" s="4"/>
    </row>
    <row r="232" spans="1:5" x14ac:dyDescent="0.3">
      <c r="A232" s="3"/>
      <c r="E232" s="4"/>
    </row>
    <row r="233" spans="1:5" x14ac:dyDescent="0.3">
      <c r="A233" s="3"/>
      <c r="E233" s="4"/>
    </row>
    <row r="234" spans="1:5" x14ac:dyDescent="0.3">
      <c r="A234" s="3"/>
      <c r="E234" s="4"/>
    </row>
    <row r="235" spans="1:5" x14ac:dyDescent="0.3">
      <c r="A235" s="3"/>
      <c r="E235" s="4"/>
    </row>
    <row r="236" spans="1:5" x14ac:dyDescent="0.3">
      <c r="A236" s="3"/>
      <c r="E236" s="4"/>
    </row>
    <row r="237" spans="1:5" x14ac:dyDescent="0.3">
      <c r="A237" s="3"/>
      <c r="E237" s="4"/>
    </row>
    <row r="238" spans="1:5" x14ac:dyDescent="0.3">
      <c r="A238" s="3"/>
      <c r="E238" s="4"/>
    </row>
    <row r="239" spans="1:5" x14ac:dyDescent="0.3">
      <c r="A239" s="3"/>
      <c r="E239" s="4"/>
    </row>
    <row r="240" spans="1:5" x14ac:dyDescent="0.3">
      <c r="A240" s="3"/>
      <c r="E240" s="4"/>
    </row>
    <row r="241" spans="1:5" x14ac:dyDescent="0.3">
      <c r="A241" s="3"/>
      <c r="E241" s="4"/>
    </row>
    <row r="242" spans="1:5" x14ac:dyDescent="0.3">
      <c r="A242" s="3"/>
      <c r="E242" s="4"/>
    </row>
    <row r="243" spans="1:5" x14ac:dyDescent="0.3">
      <c r="A243" s="3"/>
      <c r="E243" s="4"/>
    </row>
    <row r="244" spans="1:5" x14ac:dyDescent="0.3">
      <c r="A244" s="3"/>
      <c r="E244" s="4"/>
    </row>
    <row r="245" spans="1:5" x14ac:dyDescent="0.3">
      <c r="A245" s="3"/>
      <c r="E245" s="4"/>
    </row>
    <row r="246" spans="1:5" x14ac:dyDescent="0.3">
      <c r="A246" s="3"/>
      <c r="E246" s="4"/>
    </row>
    <row r="247" spans="1:5" x14ac:dyDescent="0.3">
      <c r="A247" s="3"/>
      <c r="E247" s="4"/>
    </row>
    <row r="248" spans="1:5" x14ac:dyDescent="0.3">
      <c r="A248" s="3"/>
      <c r="E248" s="4"/>
    </row>
    <row r="249" spans="1:5" x14ac:dyDescent="0.3">
      <c r="A249" s="3"/>
      <c r="E249" s="4"/>
    </row>
    <row r="250" spans="1:5" x14ac:dyDescent="0.3">
      <c r="A250" s="3"/>
      <c r="E250" s="4"/>
    </row>
    <row r="251" spans="1:5" x14ac:dyDescent="0.3">
      <c r="A251" s="3"/>
      <c r="E251" s="4"/>
    </row>
    <row r="252" spans="1:5" x14ac:dyDescent="0.3">
      <c r="A252" s="3"/>
      <c r="E252" s="4"/>
    </row>
    <row r="253" spans="1:5" x14ac:dyDescent="0.3">
      <c r="A253" s="3"/>
      <c r="E253" s="4"/>
    </row>
    <row r="254" spans="1:5" x14ac:dyDescent="0.3">
      <c r="A254" s="3"/>
      <c r="E254" s="4"/>
    </row>
    <row r="255" spans="1:5" x14ac:dyDescent="0.3">
      <c r="A255" s="3"/>
      <c r="E255" s="4"/>
    </row>
    <row r="256" spans="1:5" x14ac:dyDescent="0.3">
      <c r="A256" s="3"/>
      <c r="E256" s="4"/>
    </row>
    <row r="257" spans="1:5" x14ac:dyDescent="0.3">
      <c r="A257" s="3"/>
      <c r="E257" s="4"/>
    </row>
    <row r="258" spans="1:5" x14ac:dyDescent="0.3">
      <c r="A258" s="3"/>
      <c r="E258" s="4"/>
    </row>
    <row r="259" spans="1:5" x14ac:dyDescent="0.3">
      <c r="A259" s="3"/>
      <c r="E259" s="4"/>
    </row>
    <row r="260" spans="1:5" x14ac:dyDescent="0.3">
      <c r="A260" s="3"/>
      <c r="E260" s="4"/>
    </row>
    <row r="261" spans="1:5" x14ac:dyDescent="0.3">
      <c r="A261" s="3"/>
      <c r="E261" s="4"/>
    </row>
    <row r="262" spans="1:5" x14ac:dyDescent="0.3">
      <c r="A262" s="3"/>
      <c r="E262" s="4"/>
    </row>
    <row r="263" spans="1:5" x14ac:dyDescent="0.3">
      <c r="A263" s="3"/>
      <c r="E263" s="4"/>
    </row>
    <row r="264" spans="1:5" x14ac:dyDescent="0.3">
      <c r="A264" s="3"/>
      <c r="E264" s="4"/>
    </row>
    <row r="265" spans="1:5" x14ac:dyDescent="0.3">
      <c r="A265" s="3"/>
      <c r="E265" s="4"/>
    </row>
    <row r="266" spans="1:5" x14ac:dyDescent="0.3">
      <c r="A266" s="3"/>
      <c r="E266" s="4"/>
    </row>
    <row r="267" spans="1:5" x14ac:dyDescent="0.3">
      <c r="A267" s="3"/>
      <c r="E267" s="4"/>
    </row>
    <row r="268" spans="1:5" x14ac:dyDescent="0.3">
      <c r="A268" s="3"/>
      <c r="E268" s="4"/>
    </row>
    <row r="269" spans="1:5" x14ac:dyDescent="0.3">
      <c r="A269" s="3"/>
      <c r="E269" s="4"/>
    </row>
    <row r="270" spans="1:5" x14ac:dyDescent="0.3">
      <c r="A270" s="3"/>
      <c r="E270" s="4"/>
    </row>
    <row r="271" spans="1:5" x14ac:dyDescent="0.3">
      <c r="A271" s="3"/>
      <c r="E271" s="4"/>
    </row>
    <row r="272" spans="1:5" x14ac:dyDescent="0.3">
      <c r="A272" s="3"/>
      <c r="E272" s="4"/>
    </row>
    <row r="273" spans="1:5" x14ac:dyDescent="0.3">
      <c r="A273" s="3"/>
      <c r="E273" s="4"/>
    </row>
    <row r="274" spans="1:5" x14ac:dyDescent="0.3">
      <c r="A274" s="3"/>
      <c r="E274" s="4"/>
    </row>
    <row r="275" spans="1:5" x14ac:dyDescent="0.3">
      <c r="A275" s="3"/>
      <c r="E275" s="4"/>
    </row>
    <row r="276" spans="1:5" x14ac:dyDescent="0.3">
      <c r="A276" s="3"/>
      <c r="E276" s="4"/>
    </row>
    <row r="277" spans="1:5" x14ac:dyDescent="0.3">
      <c r="A277" s="3"/>
      <c r="E277" s="4"/>
    </row>
    <row r="278" spans="1:5" x14ac:dyDescent="0.3">
      <c r="A278" s="3"/>
      <c r="E278" s="4"/>
    </row>
    <row r="279" spans="1:5" x14ac:dyDescent="0.3">
      <c r="A279" s="3"/>
      <c r="E279" s="4"/>
    </row>
    <row r="280" spans="1:5" x14ac:dyDescent="0.3">
      <c r="A280" s="3"/>
      <c r="E280" s="4"/>
    </row>
    <row r="281" spans="1:5" x14ac:dyDescent="0.3">
      <c r="A281" s="3"/>
      <c r="E281" s="4"/>
    </row>
    <row r="282" spans="1:5" x14ac:dyDescent="0.3">
      <c r="A282" s="3"/>
      <c r="E282" s="4"/>
    </row>
    <row r="283" spans="1:5" x14ac:dyDescent="0.3">
      <c r="A283" s="3"/>
      <c r="E283" s="4"/>
    </row>
    <row r="284" spans="1:5" x14ac:dyDescent="0.3">
      <c r="A284" s="3"/>
      <c r="E284" s="4"/>
    </row>
    <row r="285" spans="1:5" x14ac:dyDescent="0.3">
      <c r="A285" s="3"/>
      <c r="E285" s="4"/>
    </row>
    <row r="286" spans="1:5" x14ac:dyDescent="0.3">
      <c r="A286" s="3"/>
      <c r="E286" s="4"/>
    </row>
    <row r="287" spans="1:5" x14ac:dyDescent="0.3">
      <c r="A287" s="3"/>
      <c r="E287" s="4"/>
    </row>
    <row r="288" spans="1:5" x14ac:dyDescent="0.3">
      <c r="A288" s="3"/>
      <c r="E288" s="4"/>
    </row>
    <row r="289" spans="1:5" x14ac:dyDescent="0.3">
      <c r="A289" s="3"/>
      <c r="E289" s="4"/>
    </row>
    <row r="290" spans="1:5" x14ac:dyDescent="0.3">
      <c r="A290" s="3"/>
      <c r="E290" s="4"/>
    </row>
    <row r="291" spans="1:5" x14ac:dyDescent="0.3">
      <c r="A291" s="3"/>
      <c r="E291" s="4"/>
    </row>
    <row r="292" spans="1:5" x14ac:dyDescent="0.3">
      <c r="A292" s="3"/>
      <c r="E292" s="4"/>
    </row>
    <row r="293" spans="1:5" x14ac:dyDescent="0.3">
      <c r="A293" s="3"/>
      <c r="E293" s="4"/>
    </row>
    <row r="294" spans="1:5" x14ac:dyDescent="0.3">
      <c r="A294" s="3"/>
      <c r="E294" s="4"/>
    </row>
    <row r="295" spans="1:5" x14ac:dyDescent="0.3">
      <c r="A295" s="3"/>
      <c r="E295" s="4"/>
    </row>
    <row r="296" spans="1:5" x14ac:dyDescent="0.3">
      <c r="A296" s="3"/>
      <c r="E296" s="4"/>
    </row>
    <row r="297" spans="1:5" x14ac:dyDescent="0.3">
      <c r="A297" s="3"/>
      <c r="E297" s="4"/>
    </row>
    <row r="298" spans="1:5" x14ac:dyDescent="0.3">
      <c r="A298" s="3"/>
      <c r="E298" s="4"/>
    </row>
    <row r="299" spans="1:5" x14ac:dyDescent="0.3">
      <c r="A299" s="3"/>
      <c r="E299" s="4"/>
    </row>
    <row r="300" spans="1:5" x14ac:dyDescent="0.3">
      <c r="A300" s="3"/>
      <c r="E300" s="4"/>
    </row>
    <row r="301" spans="1:5" x14ac:dyDescent="0.3">
      <c r="A301" s="3"/>
      <c r="E301" s="4"/>
    </row>
    <row r="302" spans="1:5" x14ac:dyDescent="0.3">
      <c r="A302" s="3"/>
      <c r="E302" s="4"/>
    </row>
    <row r="303" spans="1:5" x14ac:dyDescent="0.3">
      <c r="A303" s="3"/>
      <c r="E303" s="4"/>
    </row>
    <row r="304" spans="1:5" x14ac:dyDescent="0.3">
      <c r="A304" s="3"/>
      <c r="E304" s="4"/>
    </row>
    <row r="305" spans="1:5" x14ac:dyDescent="0.3">
      <c r="A305" s="3"/>
      <c r="E305" s="4"/>
    </row>
    <row r="306" spans="1:5" x14ac:dyDescent="0.3">
      <c r="A306" s="3"/>
      <c r="E306" s="4"/>
    </row>
    <row r="307" spans="1:5" x14ac:dyDescent="0.3">
      <c r="A307" s="3"/>
      <c r="E307" s="4"/>
    </row>
    <row r="308" spans="1:5" x14ac:dyDescent="0.3">
      <c r="A308" s="3"/>
      <c r="E308" s="4"/>
    </row>
    <row r="309" spans="1:5" x14ac:dyDescent="0.3">
      <c r="A309" s="3"/>
      <c r="E309" s="4"/>
    </row>
    <row r="310" spans="1:5" x14ac:dyDescent="0.3">
      <c r="A310" s="3"/>
      <c r="E310" s="4"/>
    </row>
    <row r="311" spans="1:5" x14ac:dyDescent="0.3">
      <c r="A311" s="3"/>
      <c r="E311" s="4"/>
    </row>
    <row r="312" spans="1:5" x14ac:dyDescent="0.3">
      <c r="A312" s="3"/>
      <c r="E312" s="4"/>
    </row>
    <row r="313" spans="1:5" x14ac:dyDescent="0.3">
      <c r="A313" s="3"/>
      <c r="E313" s="4"/>
    </row>
    <row r="314" spans="1:5" x14ac:dyDescent="0.3">
      <c r="A314" s="3"/>
      <c r="E314" s="4"/>
    </row>
    <row r="315" spans="1:5" x14ac:dyDescent="0.3">
      <c r="A315" s="3"/>
      <c r="E315" s="4"/>
    </row>
    <row r="316" spans="1:5" x14ac:dyDescent="0.3">
      <c r="A316" s="3"/>
      <c r="E316" s="4"/>
    </row>
    <row r="317" spans="1:5" x14ac:dyDescent="0.3">
      <c r="A317" s="3"/>
      <c r="E317" s="4"/>
    </row>
    <row r="318" spans="1:5" x14ac:dyDescent="0.3">
      <c r="A318" s="3"/>
      <c r="E318" s="4"/>
    </row>
    <row r="319" spans="1:5" x14ac:dyDescent="0.3">
      <c r="A319" s="3"/>
      <c r="E319" s="4"/>
    </row>
    <row r="320" spans="1:5" x14ac:dyDescent="0.3">
      <c r="A320" s="3"/>
      <c r="E320" s="4"/>
    </row>
    <row r="321" spans="1:5" x14ac:dyDescent="0.3">
      <c r="A321" s="3"/>
      <c r="E321" s="4"/>
    </row>
    <row r="322" spans="1:5" x14ac:dyDescent="0.3">
      <c r="A322" s="3"/>
      <c r="E322" s="4"/>
    </row>
    <row r="323" spans="1:5" x14ac:dyDescent="0.3">
      <c r="A323" s="3"/>
      <c r="E323" s="4"/>
    </row>
    <row r="324" spans="1:5" x14ac:dyDescent="0.3">
      <c r="A324" s="3"/>
      <c r="E324" s="4"/>
    </row>
    <row r="325" spans="1:5" x14ac:dyDescent="0.3">
      <c r="A325" s="3"/>
      <c r="E325" s="4"/>
    </row>
    <row r="326" spans="1:5" x14ac:dyDescent="0.3">
      <c r="A326" s="3"/>
      <c r="E326" s="4"/>
    </row>
    <row r="327" spans="1:5" x14ac:dyDescent="0.3">
      <c r="A327" s="3"/>
      <c r="E327" s="4"/>
    </row>
    <row r="328" spans="1:5" x14ac:dyDescent="0.3">
      <c r="A328" s="3"/>
      <c r="E328" s="4"/>
    </row>
    <row r="329" spans="1:5" x14ac:dyDescent="0.3">
      <c r="A329" s="3"/>
      <c r="E329" s="4"/>
    </row>
    <row r="330" spans="1:5" x14ac:dyDescent="0.3">
      <c r="A330" s="3"/>
      <c r="E330" s="4"/>
    </row>
    <row r="331" spans="1:5" x14ac:dyDescent="0.3">
      <c r="A331" s="3"/>
      <c r="E331" s="4"/>
    </row>
    <row r="332" spans="1:5" x14ac:dyDescent="0.3">
      <c r="A332" s="3"/>
      <c r="E332" s="4"/>
    </row>
    <row r="333" spans="1:5" x14ac:dyDescent="0.3">
      <c r="A333" s="3"/>
      <c r="E333" s="4"/>
    </row>
    <row r="334" spans="1:5" x14ac:dyDescent="0.3">
      <c r="A334" s="3"/>
      <c r="E334" s="4"/>
    </row>
    <row r="335" spans="1:5" x14ac:dyDescent="0.3">
      <c r="A335" s="3"/>
      <c r="E335" s="4"/>
    </row>
    <row r="336" spans="1:5" x14ac:dyDescent="0.3">
      <c r="A336" s="3"/>
      <c r="E336" s="4"/>
    </row>
    <row r="337" spans="1:5" x14ac:dyDescent="0.3">
      <c r="A337" s="3"/>
      <c r="E337" s="4"/>
    </row>
    <row r="338" spans="1:5" x14ac:dyDescent="0.3">
      <c r="A338" s="3"/>
      <c r="E338" s="4"/>
    </row>
    <row r="339" spans="1:5" x14ac:dyDescent="0.3">
      <c r="A339" s="3"/>
      <c r="E339" s="4"/>
    </row>
    <row r="340" spans="1:5" x14ac:dyDescent="0.3">
      <c r="A340" s="3"/>
      <c r="E340" s="4"/>
    </row>
    <row r="341" spans="1:5" x14ac:dyDescent="0.3">
      <c r="A341" s="3"/>
      <c r="E341" s="4"/>
    </row>
    <row r="342" spans="1:5" x14ac:dyDescent="0.3">
      <c r="A342" s="3"/>
      <c r="E342" s="4"/>
    </row>
    <row r="343" spans="1:5" x14ac:dyDescent="0.3">
      <c r="A343" s="3"/>
      <c r="E343" s="4"/>
    </row>
    <row r="344" spans="1:5" x14ac:dyDescent="0.3">
      <c r="A344" s="3"/>
      <c r="E344" s="4"/>
    </row>
    <row r="345" spans="1:5" x14ac:dyDescent="0.3">
      <c r="A345" s="3"/>
      <c r="E345" s="4"/>
    </row>
    <row r="346" spans="1:5" x14ac:dyDescent="0.3">
      <c r="A346" s="3"/>
      <c r="E346" s="4"/>
    </row>
    <row r="347" spans="1:5" x14ac:dyDescent="0.3">
      <c r="A347" s="3"/>
      <c r="E347" s="4"/>
    </row>
    <row r="348" spans="1:5" x14ac:dyDescent="0.3">
      <c r="A348" s="3"/>
      <c r="E348" s="4"/>
    </row>
    <row r="349" spans="1:5" x14ac:dyDescent="0.3">
      <c r="A349" s="3"/>
      <c r="E349" s="4"/>
    </row>
    <row r="350" spans="1:5" x14ac:dyDescent="0.3">
      <c r="A350" s="3"/>
      <c r="E350" s="4"/>
    </row>
    <row r="351" spans="1:5" x14ac:dyDescent="0.3">
      <c r="A351" s="3"/>
      <c r="E351" s="4"/>
    </row>
    <row r="352" spans="1:5" x14ac:dyDescent="0.3">
      <c r="A352" s="3"/>
      <c r="E352" s="4"/>
    </row>
    <row r="353" spans="1:5" x14ac:dyDescent="0.3">
      <c r="A353" s="3"/>
      <c r="E353" s="4"/>
    </row>
    <row r="354" spans="1:5" x14ac:dyDescent="0.3">
      <c r="A354" s="3"/>
      <c r="E354" s="4"/>
    </row>
    <row r="355" spans="1:5" x14ac:dyDescent="0.3">
      <c r="A355" s="3"/>
      <c r="E355" s="4"/>
    </row>
    <row r="356" spans="1:5" x14ac:dyDescent="0.3">
      <c r="A356" s="3"/>
      <c r="E356" s="4"/>
    </row>
    <row r="357" spans="1:5" x14ac:dyDescent="0.3">
      <c r="A357" s="3"/>
      <c r="E357" s="4"/>
    </row>
    <row r="358" spans="1:5" x14ac:dyDescent="0.3">
      <c r="A358" s="3"/>
      <c r="E358" s="4"/>
    </row>
    <row r="359" spans="1:5" x14ac:dyDescent="0.3">
      <c r="A359" s="3"/>
      <c r="E359" s="4"/>
    </row>
    <row r="360" spans="1:5" x14ac:dyDescent="0.3">
      <c r="A360" s="3"/>
      <c r="E360" s="4"/>
    </row>
    <row r="361" spans="1:5" x14ac:dyDescent="0.3">
      <c r="A361" s="3"/>
      <c r="E361" s="4"/>
    </row>
    <row r="362" spans="1:5" x14ac:dyDescent="0.3">
      <c r="A362" s="3"/>
      <c r="E362" s="4"/>
    </row>
    <row r="363" spans="1:5" x14ac:dyDescent="0.3">
      <c r="A363" s="3"/>
      <c r="E363" s="4"/>
    </row>
    <row r="364" spans="1:5" x14ac:dyDescent="0.3">
      <c r="A364" s="3"/>
      <c r="E364" s="4"/>
    </row>
    <row r="365" spans="1:5" x14ac:dyDescent="0.3">
      <c r="A365" s="3"/>
      <c r="E365" s="4"/>
    </row>
    <row r="589" spans="1:1" x14ac:dyDescent="0.3">
      <c r="A589" s="1"/>
    </row>
    <row r="590" spans="1:1" x14ac:dyDescent="0.3">
      <c r="A590" s="1"/>
    </row>
    <row r="1044" ht="33.6" customHeight="1" x14ac:dyDescent="0.3"/>
    <row r="1045" ht="33.6" customHeight="1" x14ac:dyDescent="0.3"/>
    <row r="1046" ht="33.6" customHeight="1" x14ac:dyDescent="0.3"/>
    <row r="1047" ht="33.6" customHeight="1" x14ac:dyDescent="0.3"/>
    <row r="1048" ht="33.6" customHeight="1" x14ac:dyDescent="0.3"/>
    <row r="1049" ht="33.6" customHeight="1" x14ac:dyDescent="0.3"/>
    <row r="1050" ht="33.6" customHeight="1" x14ac:dyDescent="0.3"/>
    <row r="1051" ht="33.6" customHeight="1" x14ac:dyDescent="0.3"/>
    <row r="1052" ht="33.6" customHeight="1" x14ac:dyDescent="0.3"/>
    <row r="1053" ht="33.6" customHeight="1" x14ac:dyDescent="0.3"/>
    <row r="1054" ht="33.6" customHeight="1" x14ac:dyDescent="0.3"/>
    <row r="1055" ht="33.6" customHeight="1" x14ac:dyDescent="0.3"/>
    <row r="1056" ht="33.6" customHeight="1" x14ac:dyDescent="0.3"/>
    <row r="1057" ht="33.6" customHeight="1" x14ac:dyDescent="0.3"/>
    <row r="1058" ht="33.6" customHeight="1" x14ac:dyDescent="0.3"/>
    <row r="1059" ht="33.6" customHeight="1" x14ac:dyDescent="0.3"/>
    <row r="1060" ht="33.6" customHeight="1" x14ac:dyDescent="0.3"/>
    <row r="1061" ht="33.6" customHeight="1" x14ac:dyDescent="0.3"/>
    <row r="1062" ht="33.6" customHeight="1" x14ac:dyDescent="0.3"/>
    <row r="1063" ht="33.6" customHeight="1" x14ac:dyDescent="0.3"/>
    <row r="1064" ht="33.6" customHeight="1" x14ac:dyDescent="0.3"/>
    <row r="1065" ht="33.6" customHeight="1" x14ac:dyDescent="0.3"/>
    <row r="1066" ht="33.6" customHeight="1" x14ac:dyDescent="0.3"/>
    <row r="1067" ht="33.6" customHeight="1" x14ac:dyDescent="0.3"/>
    <row r="1068" ht="33.6" customHeight="1" x14ac:dyDescent="0.3"/>
    <row r="1069" ht="33.6" customHeight="1" x14ac:dyDescent="0.3"/>
    <row r="1070" ht="33.6" customHeight="1" x14ac:dyDescent="0.3"/>
    <row r="1071" ht="33.6" customHeight="1" x14ac:dyDescent="0.3"/>
    <row r="1072" ht="33.6" customHeight="1" x14ac:dyDescent="0.3"/>
    <row r="1073" ht="33.6" customHeight="1" x14ac:dyDescent="0.3"/>
  </sheetData>
  <sortState ref="A2:BF1074">
    <sortCondition descending="1" ref="A1:A1048576"/>
    <sortCondition ref="B1:B1048576"/>
    <sortCondition descending="1" ref="C1:C1048576"/>
  </sortState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X547"/>
  <sheetViews>
    <sheetView workbookViewId="0">
      <pane ySplit="1" topLeftCell="A38" activePane="bottomLeft" state="frozen"/>
      <selection pane="bottomLeft" activeCell="N19" sqref="N19"/>
    </sheetView>
  </sheetViews>
  <sheetFormatPr defaultRowHeight="14.4" x14ac:dyDescent="0.3"/>
  <cols>
    <col min="2" max="2" width="12.33203125" bestFit="1" customWidth="1"/>
    <col min="5" max="5" width="12.33203125" bestFit="1" customWidth="1"/>
    <col min="8" max="8" width="12.33203125" bestFit="1" customWidth="1"/>
    <col min="11" max="11" width="12.33203125" bestFit="1" customWidth="1"/>
    <col min="12" max="19" width="12.33203125" customWidth="1"/>
    <col min="22" max="22" width="14.109375" bestFit="1" customWidth="1"/>
  </cols>
  <sheetData>
    <row r="1" spans="1:24" x14ac:dyDescent="0.3">
      <c r="A1" s="34" t="s">
        <v>50</v>
      </c>
      <c r="B1" s="34"/>
      <c r="D1" s="34" t="s">
        <v>48</v>
      </c>
      <c r="E1" s="34"/>
      <c r="G1" s="34" t="s">
        <v>47</v>
      </c>
      <c r="H1" s="34"/>
      <c r="J1" s="34" t="s">
        <v>49</v>
      </c>
      <c r="K1" s="34"/>
      <c r="L1" s="14"/>
      <c r="M1" s="34" t="s">
        <v>60</v>
      </c>
      <c r="N1" s="34"/>
      <c r="O1" s="14"/>
      <c r="P1" s="34" t="s">
        <v>68</v>
      </c>
      <c r="Q1" s="34"/>
      <c r="R1" s="17"/>
      <c r="S1" s="17"/>
      <c r="V1" t="s">
        <v>51</v>
      </c>
    </row>
    <row r="2" spans="1:24" x14ac:dyDescent="0.3">
      <c r="A2" t="s">
        <v>86</v>
      </c>
      <c r="B2" t="s">
        <v>3</v>
      </c>
      <c r="D2" t="s">
        <v>2</v>
      </c>
      <c r="E2" t="s">
        <v>3</v>
      </c>
      <c r="G2" t="s">
        <v>2</v>
      </c>
      <c r="H2" t="s">
        <v>3</v>
      </c>
      <c r="I2" t="s">
        <v>52</v>
      </c>
      <c r="J2" t="s">
        <v>2</v>
      </c>
      <c r="K2" t="s">
        <v>3</v>
      </c>
      <c r="L2" t="s">
        <v>52</v>
      </c>
      <c r="M2" t="s">
        <v>2</v>
      </c>
      <c r="N2" t="s">
        <v>3</v>
      </c>
      <c r="P2" t="s">
        <v>2</v>
      </c>
      <c r="Q2" t="s">
        <v>3</v>
      </c>
      <c r="R2" t="s">
        <v>52</v>
      </c>
      <c r="V2" s="12">
        <v>3.2808398950000002</v>
      </c>
    </row>
    <row r="3" spans="1:24" x14ac:dyDescent="0.3">
      <c r="A3">
        <v>0.3</v>
      </c>
      <c r="B3">
        <v>1.01</v>
      </c>
      <c r="D3">
        <v>5</v>
      </c>
      <c r="E3">
        <v>2.0299999999999998</v>
      </c>
      <c r="G3">
        <v>5</v>
      </c>
      <c r="H3">
        <v>2.19</v>
      </c>
      <c r="I3">
        <v>0.03</v>
      </c>
      <c r="J3">
        <v>5</v>
      </c>
      <c r="K3">
        <v>2.2799999999999998</v>
      </c>
      <c r="L3">
        <v>0.03</v>
      </c>
      <c r="M3">
        <v>1</v>
      </c>
      <c r="N3">
        <v>3.8</v>
      </c>
      <c r="O3">
        <v>-1E-3</v>
      </c>
      <c r="P3">
        <v>91</v>
      </c>
      <c r="Q3">
        <v>2.92</v>
      </c>
      <c r="V3">
        <v>1.0936132999999999</v>
      </c>
    </row>
    <row r="4" spans="1:24" x14ac:dyDescent="0.3">
      <c r="A4">
        <v>0.7</v>
      </c>
      <c r="B4">
        <v>1.0249999999999999</v>
      </c>
      <c r="D4">
        <v>6</v>
      </c>
      <c r="E4">
        <v>2.0299999999999998</v>
      </c>
      <c r="G4">
        <v>6</v>
      </c>
      <c r="H4">
        <v>2.19</v>
      </c>
      <c r="J4">
        <v>6</v>
      </c>
      <c r="K4">
        <v>2.2799999999999998</v>
      </c>
      <c r="M4">
        <v>91</v>
      </c>
      <c r="N4">
        <v>3.8</v>
      </c>
      <c r="P4">
        <v>92</v>
      </c>
      <c r="Q4">
        <v>2.9235000000000002</v>
      </c>
      <c r="R4">
        <v>3.5000000000000001E-3</v>
      </c>
    </row>
    <row r="5" spans="1:24" x14ac:dyDescent="0.3">
      <c r="A5">
        <v>1</v>
      </c>
      <c r="B5">
        <v>1.04</v>
      </c>
      <c r="D5">
        <v>7</v>
      </c>
      <c r="E5">
        <v>2.0299999999999998</v>
      </c>
      <c r="G5">
        <v>7</v>
      </c>
      <c r="H5">
        <v>2.19</v>
      </c>
      <c r="J5">
        <v>7</v>
      </c>
      <c r="K5">
        <v>2.2799999999999998</v>
      </c>
      <c r="M5">
        <v>92</v>
      </c>
      <c r="N5">
        <v>3.8</v>
      </c>
      <c r="P5">
        <v>93</v>
      </c>
      <c r="Q5">
        <v>2.927</v>
      </c>
    </row>
    <row r="6" spans="1:24" x14ac:dyDescent="0.3">
      <c r="A6">
        <v>1.3</v>
      </c>
      <c r="B6">
        <v>1.1299999999999999</v>
      </c>
      <c r="D6">
        <v>8</v>
      </c>
      <c r="E6">
        <v>2.0299999999999998</v>
      </c>
      <c r="G6">
        <v>8</v>
      </c>
      <c r="H6">
        <v>2.19</v>
      </c>
      <c r="J6">
        <v>8</v>
      </c>
      <c r="K6">
        <v>2.2799999999999998</v>
      </c>
      <c r="M6">
        <v>93</v>
      </c>
      <c r="N6">
        <v>3.8</v>
      </c>
      <c r="P6">
        <v>94</v>
      </c>
      <c r="Q6">
        <v>2.9304999999999999</v>
      </c>
    </row>
    <row r="7" spans="1:24" x14ac:dyDescent="0.3">
      <c r="A7">
        <v>1.7</v>
      </c>
      <c r="B7">
        <v>1.23</v>
      </c>
      <c r="D7">
        <v>9</v>
      </c>
      <c r="E7">
        <v>2.1800000000000002</v>
      </c>
      <c r="G7">
        <v>9</v>
      </c>
      <c r="H7">
        <v>2.34</v>
      </c>
      <c r="I7">
        <v>2.5999999999999999E-2</v>
      </c>
      <c r="J7">
        <v>9</v>
      </c>
      <c r="K7">
        <v>2.4300000000000002</v>
      </c>
      <c r="L7">
        <v>0.01</v>
      </c>
      <c r="M7">
        <v>94</v>
      </c>
      <c r="N7">
        <v>3.8</v>
      </c>
      <c r="P7">
        <v>95</v>
      </c>
      <c r="Q7">
        <v>2.9340000000000002</v>
      </c>
    </row>
    <row r="8" spans="1:24" x14ac:dyDescent="0.3">
      <c r="A8">
        <v>2</v>
      </c>
      <c r="B8">
        <v>1.34</v>
      </c>
      <c r="D8">
        <v>10</v>
      </c>
      <c r="E8">
        <v>2.1800000000000002</v>
      </c>
      <c r="G8">
        <v>10</v>
      </c>
      <c r="H8">
        <v>2.34</v>
      </c>
      <c r="J8">
        <v>10</v>
      </c>
      <c r="K8">
        <v>2.4300000000000002</v>
      </c>
      <c r="M8">
        <v>95</v>
      </c>
      <c r="N8">
        <v>3.8</v>
      </c>
      <c r="P8">
        <v>96</v>
      </c>
      <c r="Q8">
        <v>2.9375</v>
      </c>
    </row>
    <row r="9" spans="1:24" x14ac:dyDescent="0.3">
      <c r="A9">
        <v>2.2999999999999998</v>
      </c>
      <c r="B9">
        <v>1.42</v>
      </c>
      <c r="D9">
        <v>11</v>
      </c>
      <c r="E9">
        <v>2.1800000000000002</v>
      </c>
      <c r="G9">
        <v>11</v>
      </c>
      <c r="H9">
        <v>2.34</v>
      </c>
      <c r="J9">
        <v>11</v>
      </c>
      <c r="K9">
        <v>2.4300000000000002</v>
      </c>
      <c r="M9">
        <v>96</v>
      </c>
      <c r="N9">
        <v>3.8</v>
      </c>
      <c r="P9">
        <v>97</v>
      </c>
      <c r="Q9">
        <v>2.9409999999999998</v>
      </c>
    </row>
    <row r="10" spans="1:24" x14ac:dyDescent="0.3">
      <c r="A10">
        <v>2.7</v>
      </c>
      <c r="B10">
        <v>1.5</v>
      </c>
      <c r="D10">
        <v>12</v>
      </c>
      <c r="E10">
        <v>2.1800000000000002</v>
      </c>
      <c r="G10">
        <v>12</v>
      </c>
      <c r="H10">
        <v>2.34</v>
      </c>
      <c r="J10">
        <v>12</v>
      </c>
      <c r="K10">
        <v>2.4300000000000002</v>
      </c>
      <c r="M10">
        <v>97</v>
      </c>
      <c r="N10">
        <v>3.8</v>
      </c>
      <c r="P10">
        <v>98</v>
      </c>
      <c r="Q10">
        <v>2.9445000000000001</v>
      </c>
    </row>
    <row r="11" spans="1:24" x14ac:dyDescent="0.3">
      <c r="A11">
        <v>3</v>
      </c>
      <c r="B11">
        <v>1.56</v>
      </c>
      <c r="D11">
        <v>13</v>
      </c>
      <c r="E11">
        <v>2.1800000000000002</v>
      </c>
      <c r="G11">
        <v>13</v>
      </c>
      <c r="H11">
        <v>2.34</v>
      </c>
      <c r="J11">
        <v>13</v>
      </c>
      <c r="K11">
        <v>2.4300000000000002</v>
      </c>
      <c r="M11">
        <v>98</v>
      </c>
      <c r="N11">
        <v>3.8</v>
      </c>
      <c r="P11">
        <v>99</v>
      </c>
      <c r="Q11">
        <v>2.948</v>
      </c>
    </row>
    <row r="12" spans="1:24" x14ac:dyDescent="0.3">
      <c r="A12">
        <v>3.3</v>
      </c>
      <c r="B12">
        <v>1.61</v>
      </c>
      <c r="D12">
        <v>14</v>
      </c>
      <c r="E12">
        <v>2.29</v>
      </c>
      <c r="G12">
        <v>14</v>
      </c>
      <c r="H12">
        <v>2.4700000000000002</v>
      </c>
      <c r="I12">
        <v>2.4E-2</v>
      </c>
      <c r="J12">
        <v>14</v>
      </c>
      <c r="K12">
        <v>2.48</v>
      </c>
      <c r="L12">
        <v>0.01</v>
      </c>
      <c r="M12">
        <v>99</v>
      </c>
      <c r="N12">
        <v>3.8</v>
      </c>
      <c r="P12">
        <v>100</v>
      </c>
      <c r="Q12">
        <v>2.9514999999999998</v>
      </c>
    </row>
    <row r="13" spans="1:24" x14ac:dyDescent="0.3">
      <c r="A13">
        <v>3.7</v>
      </c>
      <c r="B13">
        <v>1.6439999999999999</v>
      </c>
      <c r="D13">
        <v>15</v>
      </c>
      <c r="E13">
        <v>2.29</v>
      </c>
      <c r="G13">
        <v>15</v>
      </c>
      <c r="H13">
        <v>2.4700000000000002</v>
      </c>
      <c r="J13">
        <v>15</v>
      </c>
      <c r="K13">
        <v>2.48</v>
      </c>
      <c r="M13">
        <v>100</v>
      </c>
      <c r="N13">
        <v>3.8</v>
      </c>
      <c r="P13">
        <v>101</v>
      </c>
      <c r="Q13">
        <v>2.9550000000000001</v>
      </c>
      <c r="R13">
        <v>3.5000000000000001E-3</v>
      </c>
    </row>
    <row r="14" spans="1:24" x14ac:dyDescent="0.3">
      <c r="A14">
        <v>4</v>
      </c>
      <c r="B14">
        <v>1.6779999999999999</v>
      </c>
      <c r="D14">
        <v>16</v>
      </c>
      <c r="E14">
        <v>2.29</v>
      </c>
      <c r="G14">
        <v>16</v>
      </c>
      <c r="H14">
        <v>2.4700000000000002</v>
      </c>
      <c r="J14">
        <v>16</v>
      </c>
      <c r="K14">
        <v>2.48</v>
      </c>
      <c r="M14">
        <v>101</v>
      </c>
      <c r="N14">
        <v>3.8</v>
      </c>
      <c r="P14">
        <v>102</v>
      </c>
      <c r="Q14">
        <v>2.9584999999999999</v>
      </c>
      <c r="W14" s="34"/>
      <c r="X14" s="34"/>
    </row>
    <row r="15" spans="1:24" x14ac:dyDescent="0.3">
      <c r="A15">
        <v>4.3</v>
      </c>
      <c r="B15">
        <v>1.712</v>
      </c>
      <c r="D15">
        <v>17</v>
      </c>
      <c r="E15">
        <v>2.29</v>
      </c>
      <c r="G15">
        <v>17</v>
      </c>
      <c r="H15">
        <v>2.4700000000000002</v>
      </c>
      <c r="J15">
        <v>17</v>
      </c>
      <c r="K15">
        <v>2.48</v>
      </c>
      <c r="M15">
        <v>102</v>
      </c>
      <c r="N15">
        <v>3.8</v>
      </c>
      <c r="P15">
        <v>103</v>
      </c>
      <c r="Q15">
        <v>2.9620000000000002</v>
      </c>
    </row>
    <row r="16" spans="1:24" x14ac:dyDescent="0.3">
      <c r="A16">
        <v>4.7</v>
      </c>
      <c r="B16">
        <v>1.746</v>
      </c>
      <c r="D16">
        <v>18</v>
      </c>
      <c r="E16">
        <v>2.4</v>
      </c>
      <c r="G16">
        <v>18</v>
      </c>
      <c r="H16">
        <v>2.59</v>
      </c>
      <c r="I16">
        <v>9.4999999999999998E-3</v>
      </c>
      <c r="J16">
        <v>18</v>
      </c>
      <c r="K16">
        <v>2.5299999999999998</v>
      </c>
      <c r="L16">
        <v>1.4500000000000001E-2</v>
      </c>
      <c r="M16">
        <v>103</v>
      </c>
      <c r="N16">
        <v>3.8</v>
      </c>
      <c r="P16">
        <v>104</v>
      </c>
      <c r="Q16">
        <v>2.9655</v>
      </c>
      <c r="V16" s="16"/>
    </row>
    <row r="17" spans="1:22" x14ac:dyDescent="0.3">
      <c r="A17">
        <v>5</v>
      </c>
      <c r="B17">
        <v>1.78</v>
      </c>
      <c r="D17">
        <v>19</v>
      </c>
      <c r="E17">
        <v>2.4</v>
      </c>
      <c r="G17">
        <v>19</v>
      </c>
      <c r="H17">
        <v>2.59</v>
      </c>
      <c r="J17">
        <v>19</v>
      </c>
      <c r="K17">
        <v>2.5299999999999998</v>
      </c>
      <c r="M17">
        <v>104</v>
      </c>
      <c r="N17">
        <v>3.8</v>
      </c>
      <c r="P17">
        <v>105</v>
      </c>
      <c r="Q17">
        <v>2.9689999999999999</v>
      </c>
      <c r="V17" s="16"/>
    </row>
    <row r="18" spans="1:22" x14ac:dyDescent="0.3">
      <c r="A18">
        <v>5.3</v>
      </c>
      <c r="B18">
        <v>1.798</v>
      </c>
      <c r="D18">
        <v>20</v>
      </c>
      <c r="E18">
        <v>2.4</v>
      </c>
      <c r="G18">
        <v>20</v>
      </c>
      <c r="H18">
        <v>2.59</v>
      </c>
      <c r="J18">
        <v>20</v>
      </c>
      <c r="K18">
        <v>2.5299999999999998</v>
      </c>
      <c r="M18">
        <v>105</v>
      </c>
      <c r="N18">
        <v>3.8</v>
      </c>
      <c r="P18">
        <v>106</v>
      </c>
      <c r="Q18">
        <v>2.9725000000000001</v>
      </c>
      <c r="V18" s="16"/>
    </row>
    <row r="19" spans="1:22" x14ac:dyDescent="0.3">
      <c r="A19">
        <v>5.7</v>
      </c>
      <c r="B19">
        <v>1.8160000000000001</v>
      </c>
      <c r="D19">
        <v>21</v>
      </c>
      <c r="E19">
        <v>2.4</v>
      </c>
      <c r="G19">
        <v>21</v>
      </c>
      <c r="H19">
        <v>2.59</v>
      </c>
      <c r="J19">
        <v>21</v>
      </c>
      <c r="K19">
        <v>2.5299999999999998</v>
      </c>
      <c r="M19">
        <v>106</v>
      </c>
      <c r="N19">
        <v>3.8</v>
      </c>
      <c r="P19">
        <v>107</v>
      </c>
      <c r="Q19">
        <v>2.976</v>
      </c>
      <c r="V19" s="16"/>
    </row>
    <row r="20" spans="1:22" x14ac:dyDescent="0.3">
      <c r="A20">
        <v>6</v>
      </c>
      <c r="B20">
        <v>1.8340000000000001</v>
      </c>
      <c r="D20">
        <v>22</v>
      </c>
      <c r="E20">
        <v>2.4</v>
      </c>
      <c r="G20">
        <v>22</v>
      </c>
      <c r="H20">
        <v>2.59</v>
      </c>
      <c r="J20">
        <v>22</v>
      </c>
      <c r="K20">
        <v>2.5299999999999998</v>
      </c>
      <c r="M20">
        <v>107</v>
      </c>
      <c r="N20">
        <v>3.8</v>
      </c>
      <c r="P20">
        <v>108</v>
      </c>
      <c r="Q20">
        <v>2.9794999999999998</v>
      </c>
      <c r="V20" s="16"/>
    </row>
    <row r="21" spans="1:22" x14ac:dyDescent="0.3">
      <c r="A21">
        <v>6.3</v>
      </c>
      <c r="B21">
        <v>1.8520000000000001</v>
      </c>
      <c r="D21">
        <v>23</v>
      </c>
      <c r="E21">
        <v>2.4</v>
      </c>
      <c r="G21">
        <v>23</v>
      </c>
      <c r="H21">
        <v>2.59</v>
      </c>
      <c r="J21">
        <v>23</v>
      </c>
      <c r="K21">
        <v>2.5299999999999998</v>
      </c>
      <c r="M21">
        <v>108</v>
      </c>
      <c r="N21">
        <v>3.8</v>
      </c>
      <c r="P21">
        <v>109</v>
      </c>
      <c r="Q21">
        <v>2.9830000000000001</v>
      </c>
      <c r="V21" s="16"/>
    </row>
    <row r="22" spans="1:22" x14ac:dyDescent="0.3">
      <c r="A22">
        <v>6.7</v>
      </c>
      <c r="B22">
        <v>1.87</v>
      </c>
      <c r="D22">
        <v>24</v>
      </c>
      <c r="E22">
        <v>2.4</v>
      </c>
      <c r="G22">
        <v>24</v>
      </c>
      <c r="H22">
        <v>2.59</v>
      </c>
      <c r="J22">
        <v>24</v>
      </c>
      <c r="K22">
        <v>2.5299999999999998</v>
      </c>
      <c r="M22">
        <v>109</v>
      </c>
      <c r="N22">
        <v>3.8</v>
      </c>
      <c r="O22">
        <v>1E-3</v>
      </c>
      <c r="P22">
        <v>110</v>
      </c>
      <c r="Q22">
        <v>2.99</v>
      </c>
      <c r="R22">
        <v>-1E-3</v>
      </c>
      <c r="V22" s="16"/>
    </row>
    <row r="23" spans="1:22" x14ac:dyDescent="0.3">
      <c r="A23">
        <v>7</v>
      </c>
      <c r="B23">
        <v>1.8819999999999999</v>
      </c>
      <c r="D23">
        <v>25</v>
      </c>
      <c r="E23">
        <v>2.4</v>
      </c>
      <c r="G23">
        <v>25</v>
      </c>
      <c r="H23">
        <v>2.59</v>
      </c>
      <c r="J23">
        <v>25</v>
      </c>
      <c r="K23">
        <v>2.5299999999999998</v>
      </c>
      <c r="M23">
        <v>110</v>
      </c>
      <c r="N23">
        <v>3.78</v>
      </c>
      <c r="P23">
        <v>111</v>
      </c>
      <c r="Q23">
        <v>2.99</v>
      </c>
      <c r="V23" s="16"/>
    </row>
    <row r="24" spans="1:22" x14ac:dyDescent="0.3">
      <c r="A24">
        <v>7.3</v>
      </c>
      <c r="B24">
        <v>1.8939999999999999</v>
      </c>
      <c r="D24">
        <v>26</v>
      </c>
      <c r="E24">
        <v>2.4</v>
      </c>
      <c r="G24">
        <v>26</v>
      </c>
      <c r="H24">
        <v>2.59</v>
      </c>
      <c r="J24">
        <v>26</v>
      </c>
      <c r="K24">
        <v>2.5299999999999998</v>
      </c>
      <c r="M24">
        <v>111</v>
      </c>
      <c r="N24">
        <v>3.78</v>
      </c>
      <c r="P24">
        <v>112</v>
      </c>
      <c r="Q24">
        <v>2.99</v>
      </c>
      <c r="V24" s="16"/>
    </row>
    <row r="25" spans="1:22" x14ac:dyDescent="0.3">
      <c r="A25">
        <v>7.7</v>
      </c>
      <c r="B25">
        <v>1.9059999999999999</v>
      </c>
      <c r="D25">
        <v>27</v>
      </c>
      <c r="E25">
        <v>2.4</v>
      </c>
      <c r="G25">
        <v>27</v>
      </c>
      <c r="H25">
        <v>2.59</v>
      </c>
      <c r="J25">
        <v>27</v>
      </c>
      <c r="K25">
        <v>2.5299999999999998</v>
      </c>
      <c r="M25">
        <v>112</v>
      </c>
      <c r="N25">
        <v>3.78</v>
      </c>
      <c r="P25">
        <v>113</v>
      </c>
      <c r="Q25">
        <v>2.99</v>
      </c>
      <c r="V25" s="16"/>
    </row>
    <row r="26" spans="1:22" x14ac:dyDescent="0.3">
      <c r="A26">
        <v>8</v>
      </c>
      <c r="B26">
        <v>1.9179999999999999</v>
      </c>
      <c r="D26">
        <v>28</v>
      </c>
      <c r="E26">
        <v>2.4</v>
      </c>
      <c r="G26">
        <v>28</v>
      </c>
      <c r="H26">
        <v>2.59</v>
      </c>
      <c r="J26">
        <v>28</v>
      </c>
      <c r="K26">
        <v>2.5299999999999998</v>
      </c>
      <c r="M26">
        <v>113</v>
      </c>
      <c r="N26">
        <v>3.78</v>
      </c>
      <c r="P26">
        <v>114</v>
      </c>
      <c r="Q26">
        <v>2.99</v>
      </c>
      <c r="V26" s="16"/>
    </row>
    <row r="27" spans="1:22" x14ac:dyDescent="0.3">
      <c r="A27">
        <v>8.3000000000000007</v>
      </c>
      <c r="B27">
        <v>1.93</v>
      </c>
      <c r="D27">
        <v>29</v>
      </c>
      <c r="E27">
        <v>2.4</v>
      </c>
      <c r="G27">
        <v>29</v>
      </c>
      <c r="H27">
        <v>2.59</v>
      </c>
      <c r="J27">
        <v>29</v>
      </c>
      <c r="K27">
        <v>2.5299999999999998</v>
      </c>
      <c r="M27">
        <v>114</v>
      </c>
      <c r="N27">
        <v>3.78</v>
      </c>
      <c r="P27">
        <v>115</v>
      </c>
      <c r="Q27">
        <v>2.99</v>
      </c>
      <c r="V27" s="16"/>
    </row>
    <row r="28" spans="1:22" x14ac:dyDescent="0.3">
      <c r="A28">
        <v>8.6999999999999993</v>
      </c>
      <c r="B28">
        <v>1.94</v>
      </c>
      <c r="D28">
        <v>30</v>
      </c>
      <c r="E28">
        <v>2.4</v>
      </c>
      <c r="G28">
        <v>30</v>
      </c>
      <c r="H28">
        <v>2.59</v>
      </c>
      <c r="J28">
        <v>30</v>
      </c>
      <c r="K28">
        <v>2.5299999999999998</v>
      </c>
      <c r="M28">
        <v>115</v>
      </c>
      <c r="N28">
        <v>3.78</v>
      </c>
      <c r="P28">
        <v>116</v>
      </c>
      <c r="Q28">
        <v>2.99</v>
      </c>
      <c r="V28" s="16"/>
    </row>
    <row r="29" spans="1:22" x14ac:dyDescent="0.3">
      <c r="A29">
        <v>9</v>
      </c>
      <c r="B29">
        <v>1.95</v>
      </c>
      <c r="D29">
        <v>31</v>
      </c>
      <c r="E29">
        <v>2.4</v>
      </c>
      <c r="G29">
        <v>31</v>
      </c>
      <c r="H29">
        <v>2.59</v>
      </c>
      <c r="J29">
        <v>31</v>
      </c>
      <c r="K29">
        <v>2.5299999999999998</v>
      </c>
      <c r="M29">
        <v>116</v>
      </c>
      <c r="N29">
        <v>3.78</v>
      </c>
      <c r="P29">
        <v>117</v>
      </c>
      <c r="Q29">
        <v>2.99</v>
      </c>
      <c r="V29" s="16"/>
    </row>
    <row r="30" spans="1:22" x14ac:dyDescent="0.3">
      <c r="A30">
        <v>9.3000000000000007</v>
      </c>
      <c r="B30">
        <v>1.96</v>
      </c>
      <c r="D30">
        <v>32</v>
      </c>
      <c r="E30">
        <v>2.4</v>
      </c>
      <c r="G30">
        <v>32</v>
      </c>
      <c r="H30">
        <v>2.59</v>
      </c>
      <c r="J30">
        <v>32</v>
      </c>
      <c r="K30">
        <v>2.5299999999999998</v>
      </c>
      <c r="M30">
        <v>117</v>
      </c>
      <c r="N30">
        <v>3.78</v>
      </c>
      <c r="P30">
        <v>118</v>
      </c>
      <c r="Q30">
        <v>2.99</v>
      </c>
      <c r="V30" s="16"/>
    </row>
    <row r="31" spans="1:22" x14ac:dyDescent="0.3">
      <c r="A31">
        <v>9.6999999999999993</v>
      </c>
      <c r="B31">
        <v>1.97</v>
      </c>
      <c r="D31">
        <v>33</v>
      </c>
      <c r="E31">
        <v>2.4</v>
      </c>
      <c r="G31">
        <v>33</v>
      </c>
      <c r="H31">
        <v>2.59</v>
      </c>
      <c r="J31">
        <v>33</v>
      </c>
      <c r="K31">
        <v>2.5299999999999998</v>
      </c>
      <c r="M31">
        <v>118</v>
      </c>
      <c r="N31">
        <v>3.78</v>
      </c>
      <c r="P31">
        <v>119</v>
      </c>
      <c r="Q31">
        <v>2.98</v>
      </c>
      <c r="R31">
        <v>-1E-3</v>
      </c>
      <c r="V31" s="16"/>
    </row>
    <row r="32" spans="1:22" x14ac:dyDescent="0.3">
      <c r="A32">
        <v>10</v>
      </c>
      <c r="B32">
        <v>1.98</v>
      </c>
      <c r="D32">
        <v>34</v>
      </c>
      <c r="E32">
        <v>2.4</v>
      </c>
      <c r="G32">
        <v>34</v>
      </c>
      <c r="H32">
        <v>2.59</v>
      </c>
      <c r="J32">
        <v>34</v>
      </c>
      <c r="K32">
        <v>2.5299999999999998</v>
      </c>
      <c r="M32">
        <v>119</v>
      </c>
      <c r="N32">
        <v>3.78</v>
      </c>
      <c r="P32">
        <v>120</v>
      </c>
      <c r="Q32">
        <v>2.98</v>
      </c>
      <c r="V32" s="16"/>
    </row>
    <row r="33" spans="1:22" x14ac:dyDescent="0.3">
      <c r="A33">
        <v>10.3</v>
      </c>
      <c r="B33">
        <v>1.988</v>
      </c>
      <c r="D33">
        <v>35</v>
      </c>
      <c r="E33">
        <v>2.4</v>
      </c>
      <c r="G33">
        <v>35</v>
      </c>
      <c r="H33">
        <v>2.59</v>
      </c>
      <c r="J33">
        <v>35</v>
      </c>
      <c r="K33">
        <v>2.5299999999999998</v>
      </c>
      <c r="M33">
        <v>120</v>
      </c>
      <c r="N33">
        <v>3.78</v>
      </c>
      <c r="P33">
        <v>121</v>
      </c>
      <c r="Q33">
        <v>2.98</v>
      </c>
      <c r="V33" s="16"/>
    </row>
    <row r="34" spans="1:22" x14ac:dyDescent="0.3">
      <c r="A34">
        <v>10.7</v>
      </c>
      <c r="B34">
        <v>1.996</v>
      </c>
      <c r="D34">
        <v>36</v>
      </c>
      <c r="E34">
        <v>2.4</v>
      </c>
      <c r="G34">
        <v>36</v>
      </c>
      <c r="H34">
        <v>2.59</v>
      </c>
      <c r="J34">
        <v>36</v>
      </c>
      <c r="K34">
        <v>2.5299999999999998</v>
      </c>
      <c r="M34">
        <v>121</v>
      </c>
      <c r="N34">
        <v>3.78</v>
      </c>
      <c r="P34">
        <v>122</v>
      </c>
      <c r="Q34">
        <v>2.98</v>
      </c>
      <c r="V34" s="16"/>
    </row>
    <row r="35" spans="1:22" x14ac:dyDescent="0.3">
      <c r="A35">
        <v>11</v>
      </c>
      <c r="B35">
        <v>2.004</v>
      </c>
      <c r="D35">
        <v>37</v>
      </c>
      <c r="E35">
        <v>2.6</v>
      </c>
      <c r="G35">
        <v>37</v>
      </c>
      <c r="H35">
        <v>2.78</v>
      </c>
      <c r="I35">
        <v>6.4999999999999997E-3</v>
      </c>
      <c r="J35">
        <v>37</v>
      </c>
      <c r="K35">
        <v>2.82</v>
      </c>
      <c r="L35">
        <v>1.6500000000000001E-2</v>
      </c>
      <c r="M35">
        <v>122</v>
      </c>
      <c r="N35">
        <v>3.78</v>
      </c>
      <c r="P35">
        <v>123</v>
      </c>
      <c r="Q35">
        <v>2.98</v>
      </c>
      <c r="V35" s="16"/>
    </row>
    <row r="36" spans="1:22" x14ac:dyDescent="0.3">
      <c r="A36">
        <v>11.3</v>
      </c>
      <c r="B36">
        <v>2.012</v>
      </c>
      <c r="D36">
        <v>38</v>
      </c>
      <c r="E36">
        <v>2.6</v>
      </c>
      <c r="G36">
        <v>38</v>
      </c>
      <c r="H36">
        <v>2.78</v>
      </c>
      <c r="J36">
        <v>38</v>
      </c>
      <c r="K36">
        <v>2.82</v>
      </c>
      <c r="M36">
        <v>123</v>
      </c>
      <c r="N36">
        <v>3.78</v>
      </c>
      <c r="P36">
        <v>124</v>
      </c>
      <c r="Q36">
        <v>2.98</v>
      </c>
      <c r="V36" s="16"/>
    </row>
    <row r="37" spans="1:22" x14ac:dyDescent="0.3">
      <c r="A37">
        <v>11.7</v>
      </c>
      <c r="B37">
        <v>2.02</v>
      </c>
      <c r="D37">
        <v>39</v>
      </c>
      <c r="E37">
        <v>2.6</v>
      </c>
      <c r="G37">
        <v>39</v>
      </c>
      <c r="H37">
        <v>2.78</v>
      </c>
      <c r="J37">
        <v>39</v>
      </c>
      <c r="K37">
        <v>2.82</v>
      </c>
      <c r="M37">
        <v>124</v>
      </c>
      <c r="N37">
        <v>3.78</v>
      </c>
      <c r="P37">
        <v>125</v>
      </c>
      <c r="Q37">
        <v>2.98</v>
      </c>
      <c r="V37" s="16"/>
    </row>
    <row r="38" spans="1:22" x14ac:dyDescent="0.3">
      <c r="A38">
        <v>12</v>
      </c>
      <c r="B38">
        <v>2.028</v>
      </c>
      <c r="D38">
        <v>40</v>
      </c>
      <c r="E38">
        <v>2.6</v>
      </c>
      <c r="G38">
        <v>40</v>
      </c>
      <c r="H38">
        <v>2.78</v>
      </c>
      <c r="J38">
        <v>40</v>
      </c>
      <c r="K38">
        <v>2.82</v>
      </c>
      <c r="M38">
        <v>125</v>
      </c>
      <c r="N38">
        <v>3.78</v>
      </c>
      <c r="P38">
        <v>126</v>
      </c>
      <c r="Q38">
        <v>2.98</v>
      </c>
      <c r="V38" s="16"/>
    </row>
    <row r="39" spans="1:22" x14ac:dyDescent="0.3">
      <c r="A39">
        <v>12.3</v>
      </c>
      <c r="B39">
        <v>2.036</v>
      </c>
      <c r="D39">
        <v>41</v>
      </c>
      <c r="E39">
        <v>2.6</v>
      </c>
      <c r="G39">
        <v>41</v>
      </c>
      <c r="H39">
        <v>2.78</v>
      </c>
      <c r="J39">
        <v>41</v>
      </c>
      <c r="K39">
        <v>2.82</v>
      </c>
      <c r="M39">
        <v>126</v>
      </c>
      <c r="N39">
        <v>3.78</v>
      </c>
      <c r="P39">
        <v>127</v>
      </c>
      <c r="Q39">
        <v>2.98</v>
      </c>
      <c r="V39" s="16"/>
    </row>
    <row r="40" spans="1:22" x14ac:dyDescent="0.3">
      <c r="A40">
        <v>12.7</v>
      </c>
      <c r="B40">
        <v>2.044</v>
      </c>
      <c r="D40">
        <v>42</v>
      </c>
      <c r="E40">
        <v>2.6</v>
      </c>
      <c r="G40">
        <v>42</v>
      </c>
      <c r="H40">
        <v>2.78</v>
      </c>
      <c r="J40">
        <v>42</v>
      </c>
      <c r="K40">
        <v>2.82</v>
      </c>
      <c r="M40">
        <v>127</v>
      </c>
      <c r="N40">
        <v>3.78</v>
      </c>
      <c r="O40">
        <v>5.0000000000000001E-4</v>
      </c>
      <c r="P40">
        <v>128</v>
      </c>
      <c r="Q40">
        <v>2.97</v>
      </c>
      <c r="R40">
        <v>1E-3</v>
      </c>
      <c r="V40" s="16"/>
    </row>
    <row r="41" spans="1:22" x14ac:dyDescent="0.3">
      <c r="A41">
        <v>13</v>
      </c>
      <c r="B41">
        <v>2.052</v>
      </c>
      <c r="D41">
        <v>43</v>
      </c>
      <c r="E41">
        <v>2.6</v>
      </c>
      <c r="G41">
        <v>43</v>
      </c>
      <c r="H41">
        <v>2.78</v>
      </c>
      <c r="J41">
        <v>43</v>
      </c>
      <c r="K41">
        <v>2.82</v>
      </c>
      <c r="M41">
        <v>128</v>
      </c>
      <c r="N41">
        <v>3.8</v>
      </c>
      <c r="P41">
        <v>129</v>
      </c>
      <c r="Q41">
        <v>2.97</v>
      </c>
      <c r="V41" s="16"/>
    </row>
    <row r="42" spans="1:22" x14ac:dyDescent="0.3">
      <c r="A42">
        <v>13.3</v>
      </c>
      <c r="B42">
        <v>2.06</v>
      </c>
      <c r="D42">
        <v>44</v>
      </c>
      <c r="E42">
        <v>2.6</v>
      </c>
      <c r="G42">
        <v>44</v>
      </c>
      <c r="H42">
        <v>2.78</v>
      </c>
      <c r="J42">
        <v>44</v>
      </c>
      <c r="K42">
        <v>2.82</v>
      </c>
      <c r="M42">
        <v>129</v>
      </c>
      <c r="N42">
        <v>3.8</v>
      </c>
      <c r="P42">
        <v>130</v>
      </c>
      <c r="Q42">
        <v>2.97</v>
      </c>
      <c r="V42" s="16"/>
    </row>
    <row r="43" spans="1:22" x14ac:dyDescent="0.3">
      <c r="A43">
        <v>13.7</v>
      </c>
      <c r="B43">
        <v>2.0680000000000001</v>
      </c>
      <c r="D43">
        <v>45</v>
      </c>
      <c r="E43">
        <v>2.6</v>
      </c>
      <c r="G43">
        <v>45</v>
      </c>
      <c r="H43">
        <v>2.78</v>
      </c>
      <c r="J43">
        <v>45</v>
      </c>
      <c r="K43">
        <v>2.82</v>
      </c>
      <c r="M43">
        <v>130</v>
      </c>
      <c r="N43">
        <v>3.8</v>
      </c>
      <c r="P43">
        <v>131</v>
      </c>
      <c r="Q43">
        <v>2.97</v>
      </c>
      <c r="V43" s="16"/>
    </row>
    <row r="44" spans="1:22" x14ac:dyDescent="0.3">
      <c r="A44">
        <v>14</v>
      </c>
      <c r="B44">
        <v>2.0760000000000001</v>
      </c>
      <c r="D44">
        <v>46</v>
      </c>
      <c r="E44">
        <v>2.6</v>
      </c>
      <c r="G44">
        <v>46</v>
      </c>
      <c r="H44">
        <v>2.78</v>
      </c>
      <c r="J44">
        <v>46</v>
      </c>
      <c r="K44">
        <v>2.82</v>
      </c>
      <c r="M44">
        <v>131</v>
      </c>
      <c r="N44">
        <v>3.8</v>
      </c>
      <c r="P44">
        <v>132</v>
      </c>
      <c r="Q44">
        <v>2.97</v>
      </c>
      <c r="V44" s="16"/>
    </row>
    <row r="45" spans="1:22" x14ac:dyDescent="0.3">
      <c r="A45">
        <v>14.3</v>
      </c>
      <c r="B45">
        <v>2.0840000000000001</v>
      </c>
      <c r="D45">
        <v>47</v>
      </c>
      <c r="E45">
        <v>2.6</v>
      </c>
      <c r="G45">
        <v>47</v>
      </c>
      <c r="H45">
        <v>2.78</v>
      </c>
      <c r="J45">
        <v>47</v>
      </c>
      <c r="K45">
        <v>2.82</v>
      </c>
      <c r="M45">
        <v>132</v>
      </c>
      <c r="N45">
        <v>3.8</v>
      </c>
      <c r="P45">
        <v>133</v>
      </c>
      <c r="Q45">
        <v>2.97</v>
      </c>
      <c r="V45" s="16"/>
    </row>
    <row r="46" spans="1:22" x14ac:dyDescent="0.3">
      <c r="A46">
        <v>14.7</v>
      </c>
      <c r="B46">
        <v>2.0920000000000001</v>
      </c>
      <c r="D46">
        <v>48</v>
      </c>
      <c r="E46">
        <v>2.6</v>
      </c>
      <c r="G46">
        <v>48</v>
      </c>
      <c r="H46">
        <v>2.78</v>
      </c>
      <c r="J46">
        <v>48</v>
      </c>
      <c r="K46">
        <v>2.82</v>
      </c>
      <c r="M46">
        <v>133</v>
      </c>
      <c r="N46">
        <v>3.8</v>
      </c>
      <c r="P46">
        <v>134</v>
      </c>
      <c r="Q46">
        <v>2.97</v>
      </c>
      <c r="V46" s="16"/>
    </row>
    <row r="47" spans="1:22" x14ac:dyDescent="0.3">
      <c r="A47">
        <v>15</v>
      </c>
      <c r="B47">
        <v>2.1</v>
      </c>
      <c r="D47">
        <v>49</v>
      </c>
      <c r="E47">
        <v>2.6</v>
      </c>
      <c r="G47">
        <v>49</v>
      </c>
      <c r="H47">
        <v>2.78</v>
      </c>
      <c r="J47">
        <v>49</v>
      </c>
      <c r="K47">
        <v>2.82</v>
      </c>
      <c r="M47">
        <v>134</v>
      </c>
      <c r="N47">
        <v>3.8</v>
      </c>
      <c r="P47">
        <v>135</v>
      </c>
      <c r="Q47">
        <v>2.97</v>
      </c>
      <c r="V47" s="16"/>
    </row>
    <row r="48" spans="1:22" x14ac:dyDescent="0.3">
      <c r="A48">
        <v>15.3</v>
      </c>
      <c r="B48">
        <v>2.1080000000000001</v>
      </c>
      <c r="D48">
        <v>50</v>
      </c>
      <c r="E48">
        <v>2.6</v>
      </c>
      <c r="G48">
        <v>50</v>
      </c>
      <c r="H48">
        <v>2.78</v>
      </c>
      <c r="J48">
        <v>50</v>
      </c>
      <c r="K48">
        <v>2.82</v>
      </c>
      <c r="M48">
        <v>135</v>
      </c>
      <c r="N48">
        <v>3.8</v>
      </c>
      <c r="P48">
        <v>136</v>
      </c>
      <c r="Q48">
        <v>2.97</v>
      </c>
      <c r="V48" s="16"/>
    </row>
    <row r="49" spans="1:22" x14ac:dyDescent="0.3">
      <c r="A49">
        <v>15.7</v>
      </c>
      <c r="B49">
        <v>2.1160000000000001</v>
      </c>
      <c r="D49">
        <v>51</v>
      </c>
      <c r="E49">
        <v>2.6</v>
      </c>
      <c r="G49">
        <v>51</v>
      </c>
      <c r="H49">
        <v>2.78</v>
      </c>
      <c r="J49">
        <v>51</v>
      </c>
      <c r="K49">
        <v>2.82</v>
      </c>
      <c r="M49">
        <v>136</v>
      </c>
      <c r="N49">
        <v>3.8</v>
      </c>
      <c r="P49">
        <v>137</v>
      </c>
      <c r="Q49">
        <v>2.98</v>
      </c>
      <c r="R49">
        <v>1E-3</v>
      </c>
      <c r="V49" s="16"/>
    </row>
    <row r="50" spans="1:22" x14ac:dyDescent="0.3">
      <c r="A50">
        <v>16</v>
      </c>
      <c r="B50">
        <v>2.1240000000000001</v>
      </c>
      <c r="D50">
        <v>52</v>
      </c>
      <c r="E50">
        <v>2.6</v>
      </c>
      <c r="G50">
        <v>52</v>
      </c>
      <c r="H50">
        <v>2.78</v>
      </c>
      <c r="J50">
        <v>52</v>
      </c>
      <c r="K50">
        <v>2.82</v>
      </c>
      <c r="M50">
        <v>137</v>
      </c>
      <c r="N50">
        <v>3.8</v>
      </c>
      <c r="P50">
        <v>138</v>
      </c>
      <c r="Q50">
        <v>2.98</v>
      </c>
      <c r="V50" s="16"/>
    </row>
    <row r="51" spans="1:22" x14ac:dyDescent="0.3">
      <c r="A51">
        <v>16.3</v>
      </c>
      <c r="B51">
        <v>2.1320000000000001</v>
      </c>
      <c r="D51">
        <v>53</v>
      </c>
      <c r="E51">
        <v>2.6</v>
      </c>
      <c r="G51">
        <v>53</v>
      </c>
      <c r="H51">
        <v>2.78</v>
      </c>
      <c r="J51">
        <v>53</v>
      </c>
      <c r="K51">
        <v>2.82</v>
      </c>
      <c r="M51">
        <v>138</v>
      </c>
      <c r="N51">
        <v>3.8</v>
      </c>
      <c r="P51">
        <v>139</v>
      </c>
      <c r="Q51">
        <v>2.98</v>
      </c>
      <c r="V51" s="16"/>
    </row>
    <row r="52" spans="1:22" x14ac:dyDescent="0.3">
      <c r="A52">
        <v>16.7</v>
      </c>
      <c r="B52">
        <v>2.14</v>
      </c>
      <c r="D52">
        <v>54</v>
      </c>
      <c r="E52">
        <v>2.6</v>
      </c>
      <c r="G52">
        <v>54</v>
      </c>
      <c r="H52">
        <v>2.78</v>
      </c>
      <c r="J52">
        <v>54</v>
      </c>
      <c r="K52">
        <v>2.82</v>
      </c>
      <c r="M52">
        <v>139</v>
      </c>
      <c r="N52">
        <v>3.8</v>
      </c>
      <c r="P52">
        <v>140</v>
      </c>
      <c r="Q52">
        <v>2.98</v>
      </c>
      <c r="V52" s="16"/>
    </row>
    <row r="53" spans="1:22" x14ac:dyDescent="0.3">
      <c r="A53">
        <v>17</v>
      </c>
      <c r="B53">
        <v>2.1459999999999999</v>
      </c>
      <c r="D53">
        <v>55</v>
      </c>
      <c r="E53">
        <v>2.7</v>
      </c>
      <c r="G53">
        <v>55</v>
      </c>
      <c r="H53">
        <v>2.91</v>
      </c>
      <c r="I53">
        <v>2.5000000000000001E-3</v>
      </c>
      <c r="J53">
        <v>55</v>
      </c>
      <c r="K53">
        <v>3.15</v>
      </c>
      <c r="L53">
        <v>4.4999999999999997E-3</v>
      </c>
      <c r="M53">
        <v>140</v>
      </c>
      <c r="N53">
        <v>3.8</v>
      </c>
      <c r="P53">
        <v>141</v>
      </c>
      <c r="Q53">
        <v>2.98</v>
      </c>
      <c r="V53" s="16"/>
    </row>
    <row r="54" spans="1:22" x14ac:dyDescent="0.3">
      <c r="A54">
        <v>17.3</v>
      </c>
      <c r="B54">
        <v>2.1520000000000001</v>
      </c>
      <c r="D54">
        <v>56</v>
      </c>
      <c r="E54">
        <v>2.7</v>
      </c>
      <c r="G54">
        <v>56</v>
      </c>
      <c r="H54">
        <v>2.91</v>
      </c>
      <c r="J54">
        <v>56</v>
      </c>
      <c r="K54">
        <v>3.15</v>
      </c>
      <c r="M54">
        <v>141</v>
      </c>
      <c r="N54">
        <v>3.8</v>
      </c>
      <c r="P54">
        <v>142</v>
      </c>
      <c r="Q54">
        <v>2.98</v>
      </c>
      <c r="V54" s="16"/>
    </row>
    <row r="55" spans="1:22" x14ac:dyDescent="0.3">
      <c r="A55">
        <v>17.7</v>
      </c>
      <c r="B55">
        <v>2.1579999999999999</v>
      </c>
      <c r="D55">
        <v>57</v>
      </c>
      <c r="E55">
        <v>2.7</v>
      </c>
      <c r="G55">
        <v>57</v>
      </c>
      <c r="H55">
        <v>2.91</v>
      </c>
      <c r="J55">
        <v>57</v>
      </c>
      <c r="K55">
        <v>3.15</v>
      </c>
      <c r="M55">
        <v>142</v>
      </c>
      <c r="N55">
        <v>3.8</v>
      </c>
      <c r="P55">
        <v>143</v>
      </c>
      <c r="Q55">
        <v>2.98</v>
      </c>
      <c r="V55" s="16"/>
    </row>
    <row r="56" spans="1:22" x14ac:dyDescent="0.3">
      <c r="A56">
        <v>18</v>
      </c>
      <c r="B56">
        <v>2.1640000000000001</v>
      </c>
      <c r="D56">
        <v>58</v>
      </c>
      <c r="E56">
        <v>2.7</v>
      </c>
      <c r="G56">
        <v>58</v>
      </c>
      <c r="H56">
        <v>2.91</v>
      </c>
      <c r="J56">
        <v>58</v>
      </c>
      <c r="K56">
        <v>3.15</v>
      </c>
      <c r="M56">
        <v>143</v>
      </c>
      <c r="N56">
        <v>3.8</v>
      </c>
      <c r="P56">
        <v>144</v>
      </c>
      <c r="Q56">
        <v>2.98</v>
      </c>
      <c r="V56" s="16"/>
    </row>
    <row r="57" spans="1:22" x14ac:dyDescent="0.3">
      <c r="A57">
        <v>18.3</v>
      </c>
      <c r="B57">
        <v>2.17</v>
      </c>
      <c r="D57">
        <v>59</v>
      </c>
      <c r="E57">
        <v>2.7</v>
      </c>
      <c r="G57">
        <v>59</v>
      </c>
      <c r="H57">
        <v>2.91</v>
      </c>
      <c r="J57">
        <v>59</v>
      </c>
      <c r="K57">
        <v>3.15</v>
      </c>
      <c r="M57">
        <v>144</v>
      </c>
      <c r="N57">
        <v>3.8</v>
      </c>
      <c r="P57">
        <v>145</v>
      </c>
      <c r="Q57">
        <v>2.98</v>
      </c>
      <c r="V57" s="16"/>
    </row>
    <row r="58" spans="1:22" x14ac:dyDescent="0.3">
      <c r="A58">
        <v>18.7</v>
      </c>
      <c r="B58">
        <v>2.1779999999999999</v>
      </c>
      <c r="D58">
        <v>60</v>
      </c>
      <c r="E58">
        <v>2.7</v>
      </c>
      <c r="G58">
        <v>60</v>
      </c>
      <c r="H58">
        <v>2.91</v>
      </c>
      <c r="J58">
        <v>60</v>
      </c>
      <c r="K58">
        <v>3.15</v>
      </c>
      <c r="M58">
        <v>145</v>
      </c>
      <c r="N58">
        <v>3.8</v>
      </c>
      <c r="O58">
        <v>5.0000000000000001E-4</v>
      </c>
      <c r="P58">
        <v>146</v>
      </c>
      <c r="Q58">
        <v>2.99</v>
      </c>
      <c r="R58">
        <v>0</v>
      </c>
      <c r="V58" s="16"/>
    </row>
    <row r="59" spans="1:22" x14ac:dyDescent="0.3">
      <c r="A59">
        <v>19</v>
      </c>
      <c r="B59">
        <v>2.1859999999999999</v>
      </c>
      <c r="D59">
        <v>61</v>
      </c>
      <c r="E59">
        <v>2.7</v>
      </c>
      <c r="G59">
        <v>61</v>
      </c>
      <c r="H59">
        <v>2.91</v>
      </c>
      <c r="J59">
        <v>61</v>
      </c>
      <c r="K59">
        <v>3.15</v>
      </c>
      <c r="M59">
        <v>146</v>
      </c>
      <c r="N59">
        <v>3.81</v>
      </c>
      <c r="P59">
        <v>147</v>
      </c>
      <c r="Q59">
        <v>2.99</v>
      </c>
      <c r="V59" s="16"/>
    </row>
    <row r="60" spans="1:22" x14ac:dyDescent="0.3">
      <c r="A60">
        <v>19.3</v>
      </c>
      <c r="B60">
        <v>2.194</v>
      </c>
      <c r="D60">
        <v>62</v>
      </c>
      <c r="E60">
        <v>2.7</v>
      </c>
      <c r="G60">
        <v>62</v>
      </c>
      <c r="H60">
        <v>2.91</v>
      </c>
      <c r="J60">
        <v>62</v>
      </c>
      <c r="K60">
        <v>3.15</v>
      </c>
      <c r="M60">
        <v>147</v>
      </c>
      <c r="N60">
        <v>3.81</v>
      </c>
      <c r="P60">
        <v>148</v>
      </c>
      <c r="Q60">
        <v>2.99</v>
      </c>
      <c r="V60" s="16"/>
    </row>
    <row r="61" spans="1:22" x14ac:dyDescent="0.3">
      <c r="A61">
        <v>19.7</v>
      </c>
      <c r="B61">
        <v>2.202</v>
      </c>
      <c r="D61">
        <v>63</v>
      </c>
      <c r="E61">
        <v>2.7</v>
      </c>
      <c r="G61">
        <v>63</v>
      </c>
      <c r="H61">
        <v>2.91</v>
      </c>
      <c r="J61">
        <v>63</v>
      </c>
      <c r="K61">
        <v>3.15</v>
      </c>
      <c r="M61">
        <v>148</v>
      </c>
      <c r="N61">
        <v>3.81</v>
      </c>
      <c r="P61">
        <v>149</v>
      </c>
      <c r="Q61">
        <v>2.99</v>
      </c>
      <c r="V61" s="16"/>
    </row>
    <row r="62" spans="1:22" x14ac:dyDescent="0.3">
      <c r="A62">
        <v>20</v>
      </c>
      <c r="B62">
        <v>2.21</v>
      </c>
      <c r="D62">
        <v>64</v>
      </c>
      <c r="E62">
        <v>2.7</v>
      </c>
      <c r="G62">
        <v>64</v>
      </c>
      <c r="H62">
        <v>2.91</v>
      </c>
      <c r="J62">
        <v>64</v>
      </c>
      <c r="K62">
        <v>3.15</v>
      </c>
      <c r="M62">
        <v>149</v>
      </c>
      <c r="N62">
        <v>3.81</v>
      </c>
      <c r="P62">
        <v>150</v>
      </c>
      <c r="Q62">
        <v>2.99</v>
      </c>
      <c r="V62" s="16"/>
    </row>
    <row r="63" spans="1:22" x14ac:dyDescent="0.3">
      <c r="A63">
        <v>20.3</v>
      </c>
      <c r="B63">
        <v>2.2170000000000001</v>
      </c>
      <c r="D63">
        <v>65</v>
      </c>
      <c r="E63">
        <v>2.7</v>
      </c>
      <c r="G63">
        <v>65</v>
      </c>
      <c r="H63">
        <v>2.91</v>
      </c>
      <c r="J63">
        <v>65</v>
      </c>
      <c r="K63">
        <v>3.15</v>
      </c>
      <c r="M63">
        <v>150</v>
      </c>
      <c r="N63">
        <v>3.81</v>
      </c>
      <c r="P63">
        <v>151</v>
      </c>
      <c r="Q63">
        <v>2.99</v>
      </c>
      <c r="V63" s="16"/>
    </row>
    <row r="64" spans="1:22" x14ac:dyDescent="0.3">
      <c r="A64">
        <v>20.7</v>
      </c>
      <c r="B64">
        <v>2.2240000000000002</v>
      </c>
      <c r="D64">
        <v>66</v>
      </c>
      <c r="E64">
        <v>2.7</v>
      </c>
      <c r="G64">
        <v>66</v>
      </c>
      <c r="H64">
        <v>2.91</v>
      </c>
      <c r="J64">
        <v>66</v>
      </c>
      <c r="K64">
        <v>3.15</v>
      </c>
      <c r="M64">
        <v>151</v>
      </c>
      <c r="N64">
        <v>3.81</v>
      </c>
      <c r="P64">
        <v>152</v>
      </c>
      <c r="Q64">
        <v>2.99</v>
      </c>
      <c r="V64" s="16"/>
    </row>
    <row r="65" spans="1:22" x14ac:dyDescent="0.3">
      <c r="A65">
        <v>21</v>
      </c>
      <c r="B65">
        <v>2.2309999999999999</v>
      </c>
      <c r="D65">
        <v>67</v>
      </c>
      <c r="E65">
        <v>2.7</v>
      </c>
      <c r="G65">
        <v>67</v>
      </c>
      <c r="H65">
        <v>2.91</v>
      </c>
      <c r="J65">
        <v>67</v>
      </c>
      <c r="K65">
        <v>3.15</v>
      </c>
      <c r="M65">
        <v>152</v>
      </c>
      <c r="N65">
        <v>3.81</v>
      </c>
      <c r="P65">
        <v>153</v>
      </c>
      <c r="Q65">
        <v>2.99</v>
      </c>
      <c r="V65" s="16"/>
    </row>
    <row r="66" spans="1:22" x14ac:dyDescent="0.3">
      <c r="A66">
        <v>21.3</v>
      </c>
      <c r="B66">
        <v>2.238</v>
      </c>
      <c r="D66">
        <v>68</v>
      </c>
      <c r="E66">
        <v>2.7</v>
      </c>
      <c r="G66">
        <v>68</v>
      </c>
      <c r="H66">
        <v>2.91</v>
      </c>
      <c r="J66">
        <v>68</v>
      </c>
      <c r="K66">
        <v>3.15</v>
      </c>
      <c r="M66">
        <v>153</v>
      </c>
      <c r="N66">
        <v>3.81</v>
      </c>
      <c r="P66">
        <v>154</v>
      </c>
      <c r="Q66">
        <v>2.99</v>
      </c>
      <c r="V66" s="16"/>
    </row>
    <row r="67" spans="1:22" x14ac:dyDescent="0.3">
      <c r="A67">
        <v>21.7</v>
      </c>
      <c r="B67">
        <v>2.2450000000000001</v>
      </c>
      <c r="D67">
        <v>69</v>
      </c>
      <c r="E67">
        <v>2.7</v>
      </c>
      <c r="G67">
        <v>69</v>
      </c>
      <c r="H67">
        <v>2.91</v>
      </c>
      <c r="J67">
        <v>69</v>
      </c>
      <c r="K67">
        <v>3.15</v>
      </c>
      <c r="M67">
        <v>154</v>
      </c>
      <c r="N67">
        <v>3.81</v>
      </c>
      <c r="P67">
        <v>155</v>
      </c>
      <c r="Q67">
        <v>2.99</v>
      </c>
      <c r="V67" s="16"/>
    </row>
    <row r="68" spans="1:22" x14ac:dyDescent="0.3">
      <c r="A68">
        <v>22</v>
      </c>
      <c r="B68">
        <v>2.2519999999999998</v>
      </c>
      <c r="D68">
        <v>70</v>
      </c>
      <c r="E68">
        <v>2.7</v>
      </c>
      <c r="G68">
        <v>70</v>
      </c>
      <c r="H68">
        <v>2.91</v>
      </c>
      <c r="J68">
        <v>70</v>
      </c>
      <c r="K68">
        <v>3.15</v>
      </c>
      <c r="M68">
        <v>155</v>
      </c>
      <c r="N68">
        <v>3.81</v>
      </c>
      <c r="P68">
        <v>156</v>
      </c>
      <c r="Q68">
        <v>2.99</v>
      </c>
      <c r="V68" s="16"/>
    </row>
    <row r="69" spans="1:22" x14ac:dyDescent="0.3">
      <c r="A69">
        <v>22.3</v>
      </c>
      <c r="B69">
        <v>2.2589999999999999</v>
      </c>
      <c r="D69">
        <v>71</v>
      </c>
      <c r="E69">
        <v>2.7</v>
      </c>
      <c r="G69">
        <v>71</v>
      </c>
      <c r="H69">
        <v>2.91</v>
      </c>
      <c r="J69">
        <v>71</v>
      </c>
      <c r="K69">
        <v>3.15</v>
      </c>
      <c r="M69">
        <v>156</v>
      </c>
      <c r="N69">
        <v>3.81</v>
      </c>
      <c r="P69">
        <v>157</v>
      </c>
      <c r="Q69">
        <v>2.99</v>
      </c>
      <c r="V69" s="16"/>
    </row>
    <row r="70" spans="1:22" x14ac:dyDescent="0.3">
      <c r="A70">
        <v>22.7</v>
      </c>
      <c r="B70">
        <v>2.266</v>
      </c>
      <c r="D70">
        <v>72</v>
      </c>
      <c r="E70">
        <v>2.7</v>
      </c>
      <c r="G70">
        <v>72</v>
      </c>
      <c r="H70">
        <v>2.91</v>
      </c>
      <c r="J70">
        <v>72</v>
      </c>
      <c r="K70">
        <v>3.15</v>
      </c>
      <c r="M70">
        <v>157</v>
      </c>
      <c r="N70">
        <v>3.81</v>
      </c>
      <c r="P70">
        <v>158</v>
      </c>
      <c r="Q70">
        <v>2.99</v>
      </c>
      <c r="V70" s="16"/>
    </row>
    <row r="71" spans="1:22" x14ac:dyDescent="0.3">
      <c r="A71">
        <v>23</v>
      </c>
      <c r="B71">
        <v>2.2730000000000001</v>
      </c>
      <c r="D71">
        <v>73</v>
      </c>
      <c r="E71">
        <v>2.75</v>
      </c>
      <c r="G71">
        <v>73</v>
      </c>
      <c r="H71">
        <v>2.96</v>
      </c>
      <c r="I71">
        <v>0</v>
      </c>
      <c r="J71">
        <v>73</v>
      </c>
      <c r="K71">
        <v>3.24</v>
      </c>
      <c r="L71">
        <v>0</v>
      </c>
      <c r="M71">
        <v>158</v>
      </c>
      <c r="N71">
        <v>3.81</v>
      </c>
      <c r="P71">
        <v>159</v>
      </c>
      <c r="Q71">
        <v>2.99</v>
      </c>
      <c r="V71" s="16"/>
    </row>
    <row r="72" spans="1:22" x14ac:dyDescent="0.3">
      <c r="A72">
        <v>23.3</v>
      </c>
      <c r="B72">
        <v>2.2799999999999998</v>
      </c>
      <c r="D72">
        <v>74</v>
      </c>
      <c r="E72">
        <v>2.75</v>
      </c>
      <c r="G72">
        <v>74</v>
      </c>
      <c r="H72">
        <v>2.96</v>
      </c>
      <c r="J72">
        <v>74</v>
      </c>
      <c r="K72">
        <v>3.24</v>
      </c>
      <c r="M72">
        <v>159</v>
      </c>
      <c r="N72">
        <v>3.81</v>
      </c>
      <c r="P72">
        <v>160</v>
      </c>
      <c r="Q72">
        <v>2.99</v>
      </c>
      <c r="V72" s="16"/>
    </row>
    <row r="73" spans="1:22" x14ac:dyDescent="0.3">
      <c r="A73">
        <v>23.7</v>
      </c>
      <c r="B73">
        <v>2.286</v>
      </c>
      <c r="D73">
        <v>75</v>
      </c>
      <c r="E73">
        <v>2.75</v>
      </c>
      <c r="G73">
        <v>75</v>
      </c>
      <c r="H73">
        <v>2.96</v>
      </c>
      <c r="J73">
        <v>75</v>
      </c>
      <c r="K73">
        <v>3.24</v>
      </c>
      <c r="M73">
        <v>160</v>
      </c>
      <c r="N73">
        <v>3.81</v>
      </c>
      <c r="P73">
        <v>161</v>
      </c>
      <c r="Q73">
        <v>2.99</v>
      </c>
      <c r="V73" s="16"/>
    </row>
    <row r="74" spans="1:22" x14ac:dyDescent="0.3">
      <c r="A74">
        <v>24</v>
      </c>
      <c r="B74">
        <v>2.2919999999999998</v>
      </c>
      <c r="D74">
        <v>76</v>
      </c>
      <c r="E74">
        <v>2.75</v>
      </c>
      <c r="G74">
        <v>76</v>
      </c>
      <c r="H74">
        <v>2.96</v>
      </c>
      <c r="J74">
        <v>76</v>
      </c>
      <c r="K74">
        <v>3.24</v>
      </c>
      <c r="M74">
        <v>161</v>
      </c>
      <c r="N74">
        <v>3.81</v>
      </c>
      <c r="P74">
        <v>162</v>
      </c>
      <c r="Q74">
        <v>2.99</v>
      </c>
      <c r="V74" s="16"/>
    </row>
    <row r="75" spans="1:22" x14ac:dyDescent="0.3">
      <c r="A75">
        <v>24.3</v>
      </c>
      <c r="B75">
        <v>2.298</v>
      </c>
      <c r="D75">
        <v>77</v>
      </c>
      <c r="E75">
        <v>2.75</v>
      </c>
      <c r="G75">
        <v>77</v>
      </c>
      <c r="H75">
        <v>2.96</v>
      </c>
      <c r="J75">
        <v>77</v>
      </c>
      <c r="K75">
        <v>3.24</v>
      </c>
      <c r="M75">
        <v>162</v>
      </c>
      <c r="N75">
        <v>3.81</v>
      </c>
      <c r="P75">
        <v>163</v>
      </c>
      <c r="Q75">
        <v>2.99</v>
      </c>
      <c r="V75" s="16"/>
    </row>
    <row r="76" spans="1:22" x14ac:dyDescent="0.3">
      <c r="A76">
        <v>24.7</v>
      </c>
      <c r="B76">
        <v>2.3039999999999998</v>
      </c>
      <c r="D76">
        <v>78</v>
      </c>
      <c r="E76">
        <v>2.75</v>
      </c>
      <c r="G76">
        <v>78</v>
      </c>
      <c r="H76">
        <v>2.96</v>
      </c>
      <c r="J76">
        <v>78</v>
      </c>
      <c r="K76">
        <v>3.24</v>
      </c>
      <c r="M76">
        <v>163</v>
      </c>
      <c r="N76">
        <v>3.81</v>
      </c>
      <c r="P76">
        <v>164</v>
      </c>
      <c r="Q76">
        <v>2.99</v>
      </c>
      <c r="V76" s="16"/>
    </row>
    <row r="77" spans="1:22" x14ac:dyDescent="0.3">
      <c r="A77">
        <v>25</v>
      </c>
      <c r="B77">
        <v>2.31</v>
      </c>
      <c r="D77">
        <v>79</v>
      </c>
      <c r="E77">
        <v>2.75</v>
      </c>
      <c r="G77">
        <v>79</v>
      </c>
      <c r="H77">
        <v>2.96</v>
      </c>
      <c r="J77">
        <v>79</v>
      </c>
      <c r="K77">
        <v>3.24</v>
      </c>
      <c r="M77">
        <v>164</v>
      </c>
      <c r="N77">
        <v>3.81</v>
      </c>
      <c r="O77">
        <v>2.5000000000000001E-3</v>
      </c>
      <c r="P77">
        <v>165</v>
      </c>
      <c r="Q77">
        <v>3.05</v>
      </c>
      <c r="R77">
        <v>3.5000000000000001E-3</v>
      </c>
      <c r="V77" s="16"/>
    </row>
    <row r="78" spans="1:22" x14ac:dyDescent="0.3">
      <c r="A78">
        <v>25.3</v>
      </c>
      <c r="B78">
        <v>2.3159999999999998</v>
      </c>
      <c r="D78">
        <v>80</v>
      </c>
      <c r="E78">
        <v>2.75</v>
      </c>
      <c r="G78">
        <v>80</v>
      </c>
      <c r="H78">
        <v>2.96</v>
      </c>
      <c r="J78">
        <v>80</v>
      </c>
      <c r="K78">
        <v>3.24</v>
      </c>
      <c r="M78">
        <v>165</v>
      </c>
      <c r="N78">
        <v>3.82</v>
      </c>
      <c r="P78">
        <v>166</v>
      </c>
      <c r="Q78">
        <v>3.05</v>
      </c>
      <c r="V78" s="16"/>
    </row>
    <row r="79" spans="1:22" x14ac:dyDescent="0.3">
      <c r="A79">
        <v>25.7</v>
      </c>
      <c r="B79">
        <v>2.3220000000000001</v>
      </c>
      <c r="D79">
        <v>81</v>
      </c>
      <c r="E79">
        <v>2.75</v>
      </c>
      <c r="G79">
        <v>81</v>
      </c>
      <c r="H79">
        <v>2.96</v>
      </c>
      <c r="J79">
        <v>81</v>
      </c>
      <c r="K79">
        <v>3.24</v>
      </c>
      <c r="M79">
        <v>166</v>
      </c>
      <c r="N79">
        <v>3.82</v>
      </c>
      <c r="P79">
        <v>167</v>
      </c>
      <c r="Q79">
        <v>3.05</v>
      </c>
      <c r="V79" s="16"/>
    </row>
    <row r="80" spans="1:22" x14ac:dyDescent="0.3">
      <c r="A80">
        <v>26</v>
      </c>
      <c r="B80">
        <v>2.3279999999999998</v>
      </c>
      <c r="D80">
        <v>82</v>
      </c>
      <c r="E80">
        <v>2.75</v>
      </c>
      <c r="G80">
        <v>82</v>
      </c>
      <c r="H80">
        <v>2.96</v>
      </c>
      <c r="J80">
        <v>82</v>
      </c>
      <c r="K80">
        <v>3.24</v>
      </c>
      <c r="M80">
        <v>167</v>
      </c>
      <c r="N80">
        <v>3.82</v>
      </c>
      <c r="P80">
        <v>168</v>
      </c>
      <c r="Q80">
        <v>3.05</v>
      </c>
      <c r="V80" s="16"/>
    </row>
    <row r="81" spans="1:22" x14ac:dyDescent="0.3">
      <c r="A81">
        <v>26.3</v>
      </c>
      <c r="B81">
        <v>2.3340000000000001</v>
      </c>
      <c r="D81">
        <v>83</v>
      </c>
      <c r="E81">
        <v>2.75</v>
      </c>
      <c r="G81">
        <v>83</v>
      </c>
      <c r="H81">
        <v>2.96</v>
      </c>
      <c r="J81">
        <v>83</v>
      </c>
      <c r="K81">
        <v>3.24</v>
      </c>
      <c r="M81">
        <v>168</v>
      </c>
      <c r="N81">
        <v>3.82</v>
      </c>
      <c r="P81">
        <v>169</v>
      </c>
      <c r="Q81">
        <v>3.05</v>
      </c>
      <c r="V81" s="16"/>
    </row>
    <row r="82" spans="1:22" x14ac:dyDescent="0.3">
      <c r="A82">
        <v>26.7</v>
      </c>
      <c r="B82">
        <v>2.34</v>
      </c>
      <c r="D82">
        <v>84</v>
      </c>
      <c r="E82">
        <v>2.75</v>
      </c>
      <c r="G82">
        <v>84</v>
      </c>
      <c r="H82">
        <v>2.96</v>
      </c>
      <c r="J82">
        <v>84</v>
      </c>
      <c r="K82">
        <v>3.24</v>
      </c>
      <c r="M82">
        <v>169</v>
      </c>
      <c r="N82">
        <v>3.82</v>
      </c>
      <c r="P82">
        <v>170</v>
      </c>
      <c r="Q82">
        <v>3.05</v>
      </c>
      <c r="V82" s="16"/>
    </row>
    <row r="83" spans="1:22" x14ac:dyDescent="0.3">
      <c r="A83">
        <v>27</v>
      </c>
      <c r="B83">
        <v>2.3460000000000001</v>
      </c>
      <c r="D83">
        <v>85</v>
      </c>
      <c r="E83">
        <v>2.75</v>
      </c>
      <c r="G83">
        <v>85</v>
      </c>
      <c r="H83">
        <v>2.96</v>
      </c>
      <c r="J83">
        <v>85</v>
      </c>
      <c r="K83">
        <v>3.24</v>
      </c>
      <c r="M83">
        <v>170</v>
      </c>
      <c r="N83">
        <v>3.82</v>
      </c>
      <c r="P83">
        <v>171</v>
      </c>
      <c r="Q83">
        <v>3.05</v>
      </c>
      <c r="V83" s="16"/>
    </row>
    <row r="84" spans="1:22" x14ac:dyDescent="0.3">
      <c r="A84">
        <v>27.3</v>
      </c>
      <c r="B84">
        <v>2.3519999999999999</v>
      </c>
      <c r="D84">
        <v>86</v>
      </c>
      <c r="E84">
        <v>2.75</v>
      </c>
      <c r="G84">
        <v>86</v>
      </c>
      <c r="H84">
        <v>2.96</v>
      </c>
      <c r="J84">
        <v>86</v>
      </c>
      <c r="K84">
        <v>3.24</v>
      </c>
      <c r="M84">
        <v>171</v>
      </c>
      <c r="N84">
        <v>3.82</v>
      </c>
      <c r="P84">
        <v>172</v>
      </c>
      <c r="Q84">
        <v>3.05</v>
      </c>
      <c r="V84" s="16"/>
    </row>
    <row r="85" spans="1:22" x14ac:dyDescent="0.3">
      <c r="A85">
        <v>27.7</v>
      </c>
      <c r="B85">
        <v>2.3580000000000001</v>
      </c>
      <c r="D85">
        <v>87</v>
      </c>
      <c r="E85">
        <v>2.75</v>
      </c>
      <c r="G85">
        <v>87</v>
      </c>
      <c r="H85">
        <v>2.96</v>
      </c>
      <c r="J85">
        <v>87</v>
      </c>
      <c r="K85">
        <v>3.24</v>
      </c>
      <c r="M85">
        <v>172</v>
      </c>
      <c r="N85">
        <v>3.82</v>
      </c>
      <c r="P85">
        <v>173</v>
      </c>
      <c r="Q85">
        <v>3.05</v>
      </c>
      <c r="V85" s="16"/>
    </row>
    <row r="86" spans="1:22" x14ac:dyDescent="0.3">
      <c r="A86">
        <v>28</v>
      </c>
      <c r="B86">
        <v>2.3639999999999999</v>
      </c>
      <c r="D86">
        <v>88</v>
      </c>
      <c r="E86">
        <v>2.75</v>
      </c>
      <c r="G86">
        <v>88</v>
      </c>
      <c r="H86">
        <v>2.96</v>
      </c>
      <c r="J86">
        <v>88</v>
      </c>
      <c r="K86">
        <v>3.24</v>
      </c>
      <c r="M86">
        <v>173</v>
      </c>
      <c r="N86">
        <v>3.82</v>
      </c>
      <c r="P86">
        <v>174</v>
      </c>
      <c r="Q86">
        <v>3.085</v>
      </c>
      <c r="R86">
        <v>3.5000000000000001E-3</v>
      </c>
      <c r="V86" s="16"/>
    </row>
    <row r="87" spans="1:22" x14ac:dyDescent="0.3">
      <c r="A87">
        <v>28.3</v>
      </c>
      <c r="B87">
        <v>2.37</v>
      </c>
      <c r="D87">
        <v>89</v>
      </c>
      <c r="E87">
        <v>2.75</v>
      </c>
      <c r="G87">
        <v>89</v>
      </c>
      <c r="H87">
        <v>2.96</v>
      </c>
      <c r="J87">
        <v>89</v>
      </c>
      <c r="K87">
        <v>3.24</v>
      </c>
      <c r="M87">
        <v>174</v>
      </c>
      <c r="N87">
        <v>3.82</v>
      </c>
      <c r="P87">
        <v>175</v>
      </c>
      <c r="Q87">
        <v>3.085</v>
      </c>
      <c r="V87" s="16"/>
    </row>
    <row r="88" spans="1:22" x14ac:dyDescent="0.3">
      <c r="A88">
        <v>28.7</v>
      </c>
      <c r="B88">
        <v>2.3759999999999999</v>
      </c>
      <c r="D88">
        <v>90</v>
      </c>
      <c r="E88">
        <v>2.75</v>
      </c>
      <c r="G88">
        <v>90</v>
      </c>
      <c r="H88">
        <v>2.96</v>
      </c>
      <c r="J88">
        <v>90</v>
      </c>
      <c r="K88">
        <v>3.24</v>
      </c>
      <c r="M88">
        <v>175</v>
      </c>
      <c r="N88">
        <v>3.82</v>
      </c>
      <c r="P88">
        <v>176</v>
      </c>
      <c r="Q88">
        <v>3.085</v>
      </c>
      <c r="V88" s="16"/>
    </row>
    <row r="89" spans="1:22" x14ac:dyDescent="0.3">
      <c r="A89">
        <v>29</v>
      </c>
      <c r="B89">
        <v>2.3820000000000001</v>
      </c>
      <c r="D89">
        <v>91</v>
      </c>
      <c r="E89">
        <v>2.75</v>
      </c>
      <c r="G89">
        <v>91</v>
      </c>
      <c r="H89">
        <v>2.96</v>
      </c>
      <c r="J89">
        <v>91</v>
      </c>
      <c r="K89">
        <v>3.24</v>
      </c>
      <c r="M89">
        <v>176</v>
      </c>
      <c r="N89">
        <v>3.82</v>
      </c>
      <c r="P89">
        <v>177</v>
      </c>
      <c r="Q89">
        <v>3.085</v>
      </c>
      <c r="V89" s="16"/>
    </row>
    <row r="90" spans="1:22" x14ac:dyDescent="0.3">
      <c r="A90">
        <v>29.3</v>
      </c>
      <c r="B90">
        <v>2.3879999999999999</v>
      </c>
      <c r="D90">
        <v>92</v>
      </c>
      <c r="E90">
        <v>2.8</v>
      </c>
      <c r="G90">
        <v>92</v>
      </c>
      <c r="H90">
        <v>2.96</v>
      </c>
      <c r="J90">
        <v>92</v>
      </c>
      <c r="K90">
        <v>3.24</v>
      </c>
      <c r="M90">
        <v>177</v>
      </c>
      <c r="N90">
        <v>3.82</v>
      </c>
      <c r="P90">
        <v>178</v>
      </c>
      <c r="Q90">
        <v>3.085</v>
      </c>
      <c r="V90" s="16"/>
    </row>
    <row r="91" spans="1:22" x14ac:dyDescent="0.3">
      <c r="A91">
        <v>29.7</v>
      </c>
      <c r="B91">
        <v>2.3940000000000001</v>
      </c>
      <c r="D91">
        <v>93</v>
      </c>
      <c r="E91">
        <v>2.8</v>
      </c>
      <c r="G91">
        <v>93</v>
      </c>
      <c r="H91">
        <v>2.96</v>
      </c>
      <c r="J91">
        <v>93</v>
      </c>
      <c r="K91">
        <v>3.24</v>
      </c>
      <c r="M91">
        <v>178</v>
      </c>
      <c r="N91">
        <v>3.82</v>
      </c>
      <c r="P91">
        <v>179</v>
      </c>
      <c r="Q91">
        <v>3.085</v>
      </c>
      <c r="V91" s="16"/>
    </row>
    <row r="92" spans="1:22" x14ac:dyDescent="0.3">
      <c r="A92">
        <v>30</v>
      </c>
      <c r="B92">
        <v>2.4</v>
      </c>
      <c r="D92">
        <v>94</v>
      </c>
      <c r="E92">
        <v>2.8</v>
      </c>
      <c r="G92">
        <v>94</v>
      </c>
      <c r="H92">
        <v>2.96</v>
      </c>
      <c r="J92">
        <v>94</v>
      </c>
      <c r="K92">
        <v>3.24</v>
      </c>
      <c r="M92">
        <v>179</v>
      </c>
      <c r="N92">
        <v>3.82</v>
      </c>
      <c r="P92">
        <v>180</v>
      </c>
      <c r="Q92">
        <v>3.085</v>
      </c>
      <c r="V92" s="16"/>
    </row>
    <row r="93" spans="1:22" x14ac:dyDescent="0.3">
      <c r="A93">
        <v>27.43</v>
      </c>
      <c r="B93">
        <v>2.4</v>
      </c>
      <c r="D93">
        <v>95</v>
      </c>
      <c r="E93">
        <v>2.8</v>
      </c>
      <c r="G93">
        <v>95</v>
      </c>
      <c r="H93">
        <v>2.96</v>
      </c>
      <c r="J93">
        <v>95</v>
      </c>
      <c r="K93">
        <v>3.24</v>
      </c>
      <c r="M93">
        <v>180</v>
      </c>
      <c r="N93">
        <v>3.82</v>
      </c>
      <c r="P93">
        <v>181</v>
      </c>
      <c r="Q93">
        <v>3.085</v>
      </c>
      <c r="V93" s="16"/>
    </row>
    <row r="94" spans="1:22" x14ac:dyDescent="0.3">
      <c r="D94">
        <v>96</v>
      </c>
      <c r="E94">
        <v>2.8</v>
      </c>
      <c r="G94">
        <v>96</v>
      </c>
      <c r="H94">
        <v>2.96</v>
      </c>
      <c r="J94">
        <v>96</v>
      </c>
      <c r="K94">
        <v>3.24</v>
      </c>
      <c r="M94">
        <v>181</v>
      </c>
      <c r="N94">
        <v>3.82</v>
      </c>
      <c r="P94">
        <v>182</v>
      </c>
      <c r="Q94">
        <v>3.085</v>
      </c>
      <c r="V94" s="16"/>
    </row>
    <row r="95" spans="1:22" x14ac:dyDescent="0.3">
      <c r="D95">
        <v>97</v>
      </c>
      <c r="E95">
        <v>2.8</v>
      </c>
      <c r="G95">
        <v>97</v>
      </c>
      <c r="H95">
        <v>2.96</v>
      </c>
      <c r="J95">
        <v>97</v>
      </c>
      <c r="K95">
        <v>3.24</v>
      </c>
      <c r="M95">
        <v>182</v>
      </c>
      <c r="N95">
        <v>3.82</v>
      </c>
      <c r="O95">
        <v>2.5000000000000001E-3</v>
      </c>
      <c r="P95">
        <v>183</v>
      </c>
      <c r="Q95">
        <v>3.12</v>
      </c>
      <c r="R95">
        <v>2.8999999999999998E-3</v>
      </c>
      <c r="V95" s="16"/>
    </row>
    <row r="96" spans="1:22" x14ac:dyDescent="0.3">
      <c r="D96">
        <v>98</v>
      </c>
      <c r="E96">
        <v>2.8</v>
      </c>
      <c r="G96">
        <v>98</v>
      </c>
      <c r="H96">
        <v>2.96</v>
      </c>
      <c r="J96">
        <v>98</v>
      </c>
      <c r="K96">
        <v>3.24</v>
      </c>
      <c r="M96">
        <v>183</v>
      </c>
      <c r="N96">
        <v>3.87</v>
      </c>
      <c r="P96">
        <v>184</v>
      </c>
      <c r="Q96">
        <v>3.12</v>
      </c>
      <c r="V96" s="16"/>
    </row>
    <row r="97" spans="4:22" x14ac:dyDescent="0.3">
      <c r="D97">
        <v>99</v>
      </c>
      <c r="E97">
        <v>2.8</v>
      </c>
      <c r="G97">
        <v>99</v>
      </c>
      <c r="H97">
        <v>2.96</v>
      </c>
      <c r="J97">
        <v>99</v>
      </c>
      <c r="K97">
        <v>3.24</v>
      </c>
      <c r="M97">
        <v>184</v>
      </c>
      <c r="N97">
        <v>3.87</v>
      </c>
      <c r="P97">
        <v>185</v>
      </c>
      <c r="Q97">
        <v>3.12</v>
      </c>
      <c r="V97" s="16"/>
    </row>
    <row r="98" spans="4:22" x14ac:dyDescent="0.3">
      <c r="D98">
        <v>100</v>
      </c>
      <c r="E98">
        <v>2.8</v>
      </c>
      <c r="G98">
        <v>100</v>
      </c>
      <c r="H98">
        <v>2.96</v>
      </c>
      <c r="J98">
        <v>100</v>
      </c>
      <c r="K98">
        <v>3.24</v>
      </c>
      <c r="M98">
        <v>185</v>
      </c>
      <c r="N98">
        <v>3.87</v>
      </c>
      <c r="P98">
        <v>186</v>
      </c>
      <c r="Q98">
        <v>3.12</v>
      </c>
      <c r="V98" s="16"/>
    </row>
    <row r="99" spans="4:22" x14ac:dyDescent="0.3">
      <c r="D99">
        <v>101</v>
      </c>
      <c r="E99">
        <v>2.8</v>
      </c>
      <c r="G99">
        <v>101</v>
      </c>
      <c r="H99">
        <v>2.96</v>
      </c>
      <c r="J99">
        <v>101</v>
      </c>
      <c r="K99">
        <v>3.24</v>
      </c>
      <c r="M99">
        <v>186</v>
      </c>
      <c r="N99">
        <v>3.87</v>
      </c>
      <c r="P99">
        <v>187</v>
      </c>
      <c r="Q99">
        <v>3.12</v>
      </c>
      <c r="V99" s="16"/>
    </row>
    <row r="100" spans="4:22" x14ac:dyDescent="0.3">
      <c r="D100">
        <v>102</v>
      </c>
      <c r="E100">
        <v>2.8</v>
      </c>
      <c r="G100">
        <v>102</v>
      </c>
      <c r="H100">
        <v>2.96</v>
      </c>
      <c r="J100">
        <v>102</v>
      </c>
      <c r="K100">
        <v>3.24</v>
      </c>
      <c r="M100">
        <v>187</v>
      </c>
      <c r="N100">
        <v>3.87</v>
      </c>
      <c r="P100">
        <v>188</v>
      </c>
      <c r="Q100">
        <v>3.12</v>
      </c>
      <c r="V100" s="16"/>
    </row>
    <row r="101" spans="4:22" x14ac:dyDescent="0.3">
      <c r="D101">
        <v>103</v>
      </c>
      <c r="E101">
        <v>2.8</v>
      </c>
      <c r="G101">
        <v>103</v>
      </c>
      <c r="H101">
        <v>2.96</v>
      </c>
      <c r="J101">
        <v>103</v>
      </c>
      <c r="K101">
        <v>3.24</v>
      </c>
      <c r="M101">
        <v>188</v>
      </c>
      <c r="N101">
        <v>3.87</v>
      </c>
      <c r="P101">
        <v>189</v>
      </c>
      <c r="Q101">
        <v>3.12</v>
      </c>
      <c r="V101" s="16"/>
    </row>
    <row r="102" spans="4:22" x14ac:dyDescent="0.3">
      <c r="D102">
        <v>104</v>
      </c>
      <c r="E102">
        <v>2.8</v>
      </c>
      <c r="G102">
        <v>104</v>
      </c>
      <c r="H102">
        <v>2.96</v>
      </c>
      <c r="J102">
        <v>104</v>
      </c>
      <c r="K102">
        <v>3.24</v>
      </c>
      <c r="M102">
        <v>189</v>
      </c>
      <c r="N102">
        <v>3.87</v>
      </c>
      <c r="P102">
        <v>190</v>
      </c>
      <c r="Q102">
        <v>3.12</v>
      </c>
      <c r="V102" s="16"/>
    </row>
    <row r="103" spans="4:22" x14ac:dyDescent="0.3">
      <c r="D103">
        <v>105</v>
      </c>
      <c r="E103">
        <v>2.8</v>
      </c>
      <c r="G103">
        <v>105</v>
      </c>
      <c r="H103">
        <v>2.96</v>
      </c>
      <c r="J103">
        <v>105</v>
      </c>
      <c r="K103">
        <v>3.24</v>
      </c>
      <c r="M103">
        <v>190</v>
      </c>
      <c r="N103">
        <v>3.87</v>
      </c>
      <c r="P103">
        <v>191</v>
      </c>
      <c r="Q103">
        <v>3.12</v>
      </c>
      <c r="V103" s="16"/>
    </row>
    <row r="104" spans="4:22" x14ac:dyDescent="0.3">
      <c r="D104">
        <v>106</v>
      </c>
      <c r="E104">
        <v>2.8</v>
      </c>
      <c r="G104">
        <v>106</v>
      </c>
      <c r="H104">
        <v>2.96</v>
      </c>
      <c r="J104">
        <v>106</v>
      </c>
      <c r="K104">
        <v>3.24</v>
      </c>
      <c r="M104">
        <v>191</v>
      </c>
      <c r="N104">
        <v>3.87</v>
      </c>
      <c r="P104">
        <v>192</v>
      </c>
      <c r="Q104">
        <v>3.145</v>
      </c>
      <c r="R104">
        <v>2.5000000000000001E-3</v>
      </c>
      <c r="V104" s="16"/>
    </row>
    <row r="105" spans="4:22" x14ac:dyDescent="0.3">
      <c r="D105">
        <v>107</v>
      </c>
      <c r="E105">
        <v>2.8</v>
      </c>
      <c r="G105">
        <v>107</v>
      </c>
      <c r="H105">
        <v>2.96</v>
      </c>
      <c r="J105">
        <v>107</v>
      </c>
      <c r="K105">
        <v>3.24</v>
      </c>
      <c r="M105">
        <v>192</v>
      </c>
      <c r="N105">
        <v>3.87</v>
      </c>
      <c r="P105">
        <v>193</v>
      </c>
      <c r="Q105">
        <v>3.149</v>
      </c>
      <c r="V105" s="16"/>
    </row>
    <row r="106" spans="4:22" x14ac:dyDescent="0.3">
      <c r="D106">
        <v>108</v>
      </c>
      <c r="E106">
        <v>2.8</v>
      </c>
      <c r="G106">
        <v>108</v>
      </c>
      <c r="H106">
        <v>2.96</v>
      </c>
      <c r="J106">
        <v>108</v>
      </c>
      <c r="K106">
        <v>3.24</v>
      </c>
      <c r="M106">
        <v>193</v>
      </c>
      <c r="N106">
        <v>3.87</v>
      </c>
      <c r="P106">
        <v>194</v>
      </c>
      <c r="Q106">
        <v>3.153</v>
      </c>
    </row>
    <row r="107" spans="4:22" x14ac:dyDescent="0.3">
      <c r="D107">
        <v>109</v>
      </c>
      <c r="E107">
        <v>2.8</v>
      </c>
      <c r="G107">
        <v>109</v>
      </c>
      <c r="H107">
        <v>2.96</v>
      </c>
      <c r="J107">
        <v>109</v>
      </c>
      <c r="K107">
        <v>3.24</v>
      </c>
      <c r="M107">
        <v>194</v>
      </c>
      <c r="N107">
        <v>3.87</v>
      </c>
      <c r="P107">
        <v>195</v>
      </c>
      <c r="Q107">
        <v>3.157</v>
      </c>
    </row>
    <row r="108" spans="4:22" x14ac:dyDescent="0.3">
      <c r="D108">
        <v>110</v>
      </c>
      <c r="E108">
        <v>2.85</v>
      </c>
      <c r="G108">
        <v>110</v>
      </c>
      <c r="H108">
        <v>3.08</v>
      </c>
      <c r="I108">
        <v>3.5000000000000001E-3</v>
      </c>
      <c r="J108">
        <v>110</v>
      </c>
      <c r="K108">
        <v>3.21</v>
      </c>
      <c r="L108">
        <v>5.0000000000000001E-4</v>
      </c>
      <c r="M108">
        <v>195</v>
      </c>
      <c r="N108">
        <v>3.87</v>
      </c>
      <c r="P108">
        <v>196</v>
      </c>
      <c r="Q108">
        <v>3.161</v>
      </c>
    </row>
    <row r="109" spans="4:22" x14ac:dyDescent="0.3">
      <c r="D109">
        <v>111</v>
      </c>
      <c r="E109">
        <v>2.85</v>
      </c>
      <c r="G109">
        <v>111</v>
      </c>
      <c r="H109">
        <v>3.08</v>
      </c>
      <c r="J109">
        <v>111</v>
      </c>
      <c r="K109">
        <v>3.21</v>
      </c>
      <c r="M109">
        <v>196</v>
      </c>
      <c r="N109">
        <v>3.87</v>
      </c>
      <c r="P109">
        <v>197</v>
      </c>
      <c r="Q109">
        <v>3.165</v>
      </c>
    </row>
    <row r="110" spans="4:22" x14ac:dyDescent="0.3">
      <c r="D110">
        <v>112</v>
      </c>
      <c r="E110">
        <v>2.85</v>
      </c>
      <c r="G110">
        <v>112</v>
      </c>
      <c r="H110">
        <v>3.08</v>
      </c>
      <c r="J110">
        <v>112</v>
      </c>
      <c r="K110">
        <v>3.21</v>
      </c>
      <c r="M110">
        <v>197</v>
      </c>
      <c r="N110">
        <v>3.87</v>
      </c>
      <c r="P110">
        <v>198</v>
      </c>
      <c r="Q110">
        <v>3.169</v>
      </c>
    </row>
    <row r="111" spans="4:22" x14ac:dyDescent="0.3">
      <c r="D111">
        <v>113</v>
      </c>
      <c r="E111">
        <v>2.85</v>
      </c>
      <c r="G111">
        <v>113</v>
      </c>
      <c r="H111">
        <v>3.08</v>
      </c>
      <c r="J111">
        <v>113</v>
      </c>
      <c r="K111">
        <v>3.21</v>
      </c>
      <c r="M111">
        <v>198</v>
      </c>
      <c r="N111">
        <v>3.87</v>
      </c>
      <c r="P111">
        <v>199</v>
      </c>
      <c r="Q111">
        <v>3.173</v>
      </c>
    </row>
    <row r="112" spans="4:22" x14ac:dyDescent="0.3">
      <c r="D112">
        <v>114</v>
      </c>
      <c r="E112">
        <v>2.85</v>
      </c>
      <c r="G112">
        <v>114</v>
      </c>
      <c r="H112">
        <v>3.08</v>
      </c>
      <c r="J112">
        <v>114</v>
      </c>
      <c r="K112">
        <v>3.21</v>
      </c>
      <c r="M112">
        <v>199</v>
      </c>
      <c r="N112">
        <v>3.87</v>
      </c>
      <c r="P112">
        <v>200</v>
      </c>
      <c r="Q112">
        <v>3.177</v>
      </c>
    </row>
    <row r="113" spans="4:18" x14ac:dyDescent="0.3">
      <c r="D113">
        <v>115</v>
      </c>
      <c r="E113">
        <v>2.85</v>
      </c>
      <c r="G113">
        <v>115</v>
      </c>
      <c r="H113">
        <v>3.08</v>
      </c>
      <c r="J113">
        <v>115</v>
      </c>
      <c r="K113">
        <v>3.21</v>
      </c>
      <c r="M113">
        <v>200</v>
      </c>
      <c r="N113">
        <v>3.87</v>
      </c>
      <c r="O113">
        <v>0</v>
      </c>
      <c r="P113">
        <v>201</v>
      </c>
      <c r="Q113">
        <v>3.17</v>
      </c>
      <c r="R113">
        <v>4.0000000000000001E-3</v>
      </c>
    </row>
    <row r="114" spans="4:18" x14ac:dyDescent="0.3">
      <c r="D114">
        <v>116</v>
      </c>
      <c r="E114">
        <v>2.85</v>
      </c>
      <c r="G114">
        <v>116</v>
      </c>
      <c r="H114">
        <v>3.08</v>
      </c>
      <c r="J114">
        <v>116</v>
      </c>
      <c r="K114">
        <v>3.21</v>
      </c>
      <c r="M114">
        <v>201</v>
      </c>
      <c r="N114">
        <v>3.92</v>
      </c>
      <c r="P114">
        <v>202</v>
      </c>
      <c r="Q114">
        <v>3.17</v>
      </c>
    </row>
    <row r="115" spans="4:18" x14ac:dyDescent="0.3">
      <c r="D115">
        <v>117</v>
      </c>
      <c r="E115">
        <v>2.85</v>
      </c>
      <c r="G115">
        <v>117</v>
      </c>
      <c r="H115">
        <v>3.08</v>
      </c>
      <c r="J115">
        <v>117</v>
      </c>
      <c r="K115">
        <v>3.21</v>
      </c>
      <c r="M115">
        <v>202</v>
      </c>
      <c r="N115">
        <v>3.92</v>
      </c>
      <c r="P115">
        <v>203</v>
      </c>
      <c r="Q115">
        <v>3.17</v>
      </c>
    </row>
    <row r="116" spans="4:18" x14ac:dyDescent="0.3">
      <c r="D116">
        <v>118</v>
      </c>
      <c r="E116">
        <v>2.85</v>
      </c>
      <c r="G116">
        <v>118</v>
      </c>
      <c r="H116">
        <v>3.08</v>
      </c>
      <c r="J116">
        <v>118</v>
      </c>
      <c r="K116">
        <v>3.21</v>
      </c>
      <c r="M116">
        <v>203</v>
      </c>
      <c r="N116">
        <v>3.92</v>
      </c>
      <c r="P116">
        <v>204</v>
      </c>
      <c r="Q116">
        <v>3.17</v>
      </c>
    </row>
    <row r="117" spans="4:18" x14ac:dyDescent="0.3">
      <c r="D117">
        <v>119</v>
      </c>
      <c r="E117">
        <v>2.85</v>
      </c>
      <c r="G117">
        <v>119</v>
      </c>
      <c r="H117">
        <v>3.08</v>
      </c>
      <c r="J117">
        <v>119</v>
      </c>
      <c r="K117">
        <v>3.21</v>
      </c>
      <c r="M117">
        <v>204</v>
      </c>
      <c r="N117">
        <v>3.92</v>
      </c>
      <c r="P117">
        <v>205</v>
      </c>
      <c r="Q117">
        <v>3.17</v>
      </c>
    </row>
    <row r="118" spans="4:18" x14ac:dyDescent="0.3">
      <c r="D118">
        <v>120</v>
      </c>
      <c r="E118">
        <v>2.85</v>
      </c>
      <c r="G118">
        <v>120</v>
      </c>
      <c r="H118">
        <v>3.08</v>
      </c>
      <c r="J118">
        <v>120</v>
      </c>
      <c r="K118">
        <v>3.21</v>
      </c>
      <c r="M118">
        <v>205</v>
      </c>
      <c r="N118">
        <v>3.92</v>
      </c>
      <c r="P118">
        <v>206</v>
      </c>
      <c r="Q118">
        <v>3.17</v>
      </c>
    </row>
    <row r="119" spans="4:18" x14ac:dyDescent="0.3">
      <c r="D119">
        <v>121</v>
      </c>
      <c r="E119">
        <v>2.85</v>
      </c>
      <c r="G119">
        <v>121</v>
      </c>
      <c r="H119">
        <v>3.08</v>
      </c>
      <c r="J119">
        <v>121</v>
      </c>
      <c r="K119">
        <v>3.21</v>
      </c>
      <c r="M119">
        <v>206</v>
      </c>
      <c r="N119">
        <v>3.92</v>
      </c>
      <c r="P119">
        <v>207</v>
      </c>
      <c r="Q119">
        <v>3.17</v>
      </c>
    </row>
    <row r="120" spans="4:18" x14ac:dyDescent="0.3">
      <c r="D120">
        <v>122</v>
      </c>
      <c r="E120">
        <v>2.85</v>
      </c>
      <c r="G120">
        <v>122</v>
      </c>
      <c r="H120">
        <v>3.08</v>
      </c>
      <c r="J120">
        <v>122</v>
      </c>
      <c r="K120">
        <v>3.21</v>
      </c>
      <c r="M120">
        <v>207</v>
      </c>
      <c r="N120">
        <v>3.92</v>
      </c>
      <c r="P120">
        <v>208</v>
      </c>
      <c r="Q120">
        <v>3.17</v>
      </c>
    </row>
    <row r="121" spans="4:18" x14ac:dyDescent="0.3">
      <c r="D121">
        <v>123</v>
      </c>
      <c r="E121">
        <v>2.85</v>
      </c>
      <c r="G121">
        <v>123</v>
      </c>
      <c r="H121">
        <v>3.08</v>
      </c>
      <c r="J121">
        <v>123</v>
      </c>
      <c r="K121">
        <v>3.21</v>
      </c>
      <c r="M121">
        <v>208</v>
      </c>
      <c r="N121">
        <v>3.92</v>
      </c>
      <c r="P121">
        <v>209</v>
      </c>
      <c r="Q121">
        <v>3.17</v>
      </c>
    </row>
    <row r="122" spans="4:18" x14ac:dyDescent="0.3">
      <c r="D122">
        <v>124</v>
      </c>
      <c r="E122">
        <v>2.85</v>
      </c>
      <c r="G122">
        <v>124</v>
      </c>
      <c r="H122">
        <v>3.08</v>
      </c>
      <c r="J122">
        <v>124</v>
      </c>
      <c r="K122">
        <v>3.21</v>
      </c>
      <c r="M122">
        <v>209</v>
      </c>
      <c r="N122">
        <v>3.92</v>
      </c>
      <c r="P122">
        <v>210</v>
      </c>
      <c r="Q122">
        <v>3.21</v>
      </c>
      <c r="R122">
        <v>0</v>
      </c>
    </row>
    <row r="123" spans="4:18" x14ac:dyDescent="0.3">
      <c r="D123">
        <v>125</v>
      </c>
      <c r="E123">
        <v>2.85</v>
      </c>
      <c r="G123">
        <v>125</v>
      </c>
      <c r="H123">
        <v>3.08</v>
      </c>
      <c r="J123">
        <v>125</v>
      </c>
      <c r="K123">
        <v>3.21</v>
      </c>
      <c r="M123">
        <v>210</v>
      </c>
      <c r="N123">
        <v>3.92</v>
      </c>
      <c r="P123">
        <v>211</v>
      </c>
      <c r="Q123">
        <v>3.21</v>
      </c>
    </row>
    <row r="124" spans="4:18" x14ac:dyDescent="0.3">
      <c r="D124">
        <v>126</v>
      </c>
      <c r="E124">
        <v>2.85</v>
      </c>
      <c r="G124">
        <v>126</v>
      </c>
      <c r="H124">
        <v>3.08</v>
      </c>
      <c r="J124">
        <v>126</v>
      </c>
      <c r="K124">
        <v>3.21</v>
      </c>
      <c r="M124">
        <v>211</v>
      </c>
      <c r="N124">
        <v>3.92</v>
      </c>
      <c r="P124">
        <v>212</v>
      </c>
      <c r="Q124">
        <v>3.21</v>
      </c>
    </row>
    <row r="125" spans="4:18" x14ac:dyDescent="0.3">
      <c r="D125">
        <v>127</v>
      </c>
      <c r="E125">
        <v>2.85</v>
      </c>
      <c r="G125">
        <v>127</v>
      </c>
      <c r="H125">
        <v>3.08</v>
      </c>
      <c r="J125">
        <v>127</v>
      </c>
      <c r="K125">
        <v>3.21</v>
      </c>
      <c r="M125">
        <v>212</v>
      </c>
      <c r="N125">
        <v>3.92</v>
      </c>
      <c r="P125">
        <v>213</v>
      </c>
      <c r="Q125">
        <v>3.21</v>
      </c>
    </row>
    <row r="126" spans="4:18" x14ac:dyDescent="0.3">
      <c r="D126">
        <v>128</v>
      </c>
      <c r="E126">
        <v>2.91</v>
      </c>
      <c r="G126">
        <v>128</v>
      </c>
      <c r="H126">
        <v>3.15</v>
      </c>
      <c r="I126">
        <v>4.0000000000000001E-3</v>
      </c>
      <c r="J126">
        <v>128</v>
      </c>
      <c r="K126">
        <v>3.22</v>
      </c>
      <c r="L126">
        <v>3.0000000000000001E-3</v>
      </c>
      <c r="M126">
        <v>213</v>
      </c>
      <c r="N126">
        <v>3.92</v>
      </c>
      <c r="P126">
        <v>214</v>
      </c>
      <c r="Q126">
        <v>3.21</v>
      </c>
    </row>
    <row r="127" spans="4:18" x14ac:dyDescent="0.3">
      <c r="D127">
        <v>129</v>
      </c>
      <c r="E127">
        <v>2.91</v>
      </c>
      <c r="G127">
        <v>129</v>
      </c>
      <c r="H127">
        <v>3.15</v>
      </c>
      <c r="J127">
        <v>129</v>
      </c>
      <c r="K127">
        <v>3.22</v>
      </c>
      <c r="M127">
        <v>214</v>
      </c>
      <c r="N127">
        <v>3.92</v>
      </c>
      <c r="P127">
        <v>215</v>
      </c>
      <c r="Q127">
        <v>3.21</v>
      </c>
    </row>
    <row r="128" spans="4:18" x14ac:dyDescent="0.3">
      <c r="D128">
        <v>130</v>
      </c>
      <c r="E128">
        <v>2.91</v>
      </c>
      <c r="G128">
        <v>130</v>
      </c>
      <c r="H128">
        <v>3.15</v>
      </c>
      <c r="J128">
        <v>130</v>
      </c>
      <c r="K128">
        <v>3.22</v>
      </c>
      <c r="M128">
        <v>215</v>
      </c>
      <c r="N128">
        <v>3.92</v>
      </c>
      <c r="P128">
        <v>216</v>
      </c>
      <c r="Q128">
        <v>3.21</v>
      </c>
    </row>
    <row r="129" spans="4:18" x14ac:dyDescent="0.3">
      <c r="D129">
        <v>131</v>
      </c>
      <c r="E129">
        <v>2.91</v>
      </c>
      <c r="G129">
        <v>131</v>
      </c>
      <c r="H129">
        <v>3.15</v>
      </c>
      <c r="J129">
        <v>131</v>
      </c>
      <c r="K129">
        <v>3.22</v>
      </c>
      <c r="M129">
        <v>216</v>
      </c>
      <c r="N129">
        <v>3.92</v>
      </c>
      <c r="P129">
        <v>217</v>
      </c>
      <c r="Q129">
        <v>3.21</v>
      </c>
    </row>
    <row r="130" spans="4:18" x14ac:dyDescent="0.3">
      <c r="D130">
        <v>132</v>
      </c>
      <c r="E130">
        <v>2.91</v>
      </c>
      <c r="G130">
        <v>132</v>
      </c>
      <c r="H130">
        <v>3.15</v>
      </c>
      <c r="J130">
        <v>132</v>
      </c>
      <c r="K130">
        <v>3.22</v>
      </c>
      <c r="M130">
        <v>217</v>
      </c>
      <c r="N130">
        <v>3.92</v>
      </c>
      <c r="P130">
        <v>218</v>
      </c>
      <c r="Q130">
        <v>3.21</v>
      </c>
    </row>
    <row r="131" spans="4:18" x14ac:dyDescent="0.3">
      <c r="D131">
        <v>133</v>
      </c>
      <c r="E131">
        <v>2.91</v>
      </c>
      <c r="G131">
        <v>133</v>
      </c>
      <c r="H131">
        <v>3.15</v>
      </c>
      <c r="J131">
        <v>133</v>
      </c>
      <c r="K131">
        <v>3.22</v>
      </c>
      <c r="M131">
        <v>218</v>
      </c>
      <c r="N131">
        <v>3.92</v>
      </c>
      <c r="P131">
        <v>219</v>
      </c>
      <c r="Q131">
        <v>3.21</v>
      </c>
    </row>
    <row r="132" spans="4:18" x14ac:dyDescent="0.3">
      <c r="D132">
        <v>134</v>
      </c>
      <c r="E132">
        <v>2.91</v>
      </c>
      <c r="G132">
        <v>134</v>
      </c>
      <c r="H132">
        <v>3.15</v>
      </c>
      <c r="J132">
        <v>134</v>
      </c>
      <c r="K132">
        <v>3.22</v>
      </c>
      <c r="M132">
        <v>219</v>
      </c>
      <c r="N132">
        <v>3.92</v>
      </c>
      <c r="P132">
        <v>220</v>
      </c>
      <c r="Q132">
        <v>3.21</v>
      </c>
    </row>
    <row r="133" spans="4:18" x14ac:dyDescent="0.3">
      <c r="D133">
        <v>135</v>
      </c>
      <c r="E133">
        <v>2.91</v>
      </c>
      <c r="G133">
        <v>135</v>
      </c>
      <c r="H133">
        <v>3.15</v>
      </c>
      <c r="J133">
        <v>135</v>
      </c>
      <c r="K133">
        <v>3.22</v>
      </c>
      <c r="M133">
        <v>220</v>
      </c>
      <c r="N133">
        <v>3.92</v>
      </c>
      <c r="P133">
        <v>221</v>
      </c>
      <c r="Q133">
        <v>3.21</v>
      </c>
    </row>
    <row r="134" spans="4:18" x14ac:dyDescent="0.3">
      <c r="D134">
        <v>136</v>
      </c>
      <c r="E134">
        <v>2.91</v>
      </c>
      <c r="G134">
        <v>136</v>
      </c>
      <c r="H134">
        <v>3.15</v>
      </c>
      <c r="J134">
        <v>136</v>
      </c>
      <c r="K134">
        <v>3.22</v>
      </c>
      <c r="M134">
        <v>221</v>
      </c>
      <c r="N134">
        <v>3.92</v>
      </c>
      <c r="P134">
        <v>222</v>
      </c>
      <c r="Q134">
        <v>3.21</v>
      </c>
    </row>
    <row r="135" spans="4:18" x14ac:dyDescent="0.3">
      <c r="D135">
        <v>137</v>
      </c>
      <c r="E135">
        <v>2.91</v>
      </c>
      <c r="G135">
        <v>137</v>
      </c>
      <c r="H135">
        <v>3.15</v>
      </c>
      <c r="J135">
        <v>137</v>
      </c>
      <c r="K135">
        <v>3.22</v>
      </c>
      <c r="M135">
        <v>222</v>
      </c>
      <c r="N135">
        <v>3.92</v>
      </c>
      <c r="P135">
        <v>223</v>
      </c>
      <c r="Q135">
        <v>3.21</v>
      </c>
    </row>
    <row r="136" spans="4:18" x14ac:dyDescent="0.3">
      <c r="D136">
        <v>138</v>
      </c>
      <c r="E136">
        <v>2.91</v>
      </c>
      <c r="G136">
        <v>138</v>
      </c>
      <c r="H136">
        <v>3.15</v>
      </c>
      <c r="J136">
        <v>138</v>
      </c>
      <c r="K136">
        <v>3.22</v>
      </c>
      <c r="M136">
        <v>223</v>
      </c>
      <c r="N136">
        <v>3.92</v>
      </c>
      <c r="P136">
        <v>224</v>
      </c>
      <c r="Q136">
        <v>3.21</v>
      </c>
    </row>
    <row r="137" spans="4:18" x14ac:dyDescent="0.3">
      <c r="D137">
        <v>139</v>
      </c>
      <c r="E137">
        <v>2.91</v>
      </c>
      <c r="G137">
        <v>139</v>
      </c>
      <c r="H137">
        <v>3.15</v>
      </c>
      <c r="J137">
        <v>139</v>
      </c>
      <c r="K137">
        <v>3.22</v>
      </c>
      <c r="M137">
        <v>224</v>
      </c>
      <c r="N137">
        <v>3.92</v>
      </c>
      <c r="P137">
        <v>225</v>
      </c>
      <c r="Q137">
        <v>3.21</v>
      </c>
    </row>
    <row r="138" spans="4:18" x14ac:dyDescent="0.3">
      <c r="D138">
        <v>140</v>
      </c>
      <c r="E138">
        <v>2.91</v>
      </c>
      <c r="G138">
        <v>140</v>
      </c>
      <c r="H138">
        <v>3.15</v>
      </c>
      <c r="J138">
        <v>140</v>
      </c>
      <c r="K138">
        <v>3.22</v>
      </c>
      <c r="M138">
        <v>225</v>
      </c>
      <c r="N138">
        <v>3.92</v>
      </c>
      <c r="P138">
        <v>226</v>
      </c>
      <c r="Q138">
        <v>3.21</v>
      </c>
    </row>
    <row r="139" spans="4:18" x14ac:dyDescent="0.3">
      <c r="D139">
        <v>141</v>
      </c>
      <c r="E139">
        <v>2.91</v>
      </c>
      <c r="G139">
        <v>141</v>
      </c>
      <c r="H139">
        <v>3.15</v>
      </c>
      <c r="J139">
        <v>141</v>
      </c>
      <c r="K139">
        <v>3.22</v>
      </c>
      <c r="M139">
        <v>226</v>
      </c>
      <c r="N139">
        <v>3.92</v>
      </c>
      <c r="P139">
        <v>227</v>
      </c>
      <c r="Q139">
        <v>3.21</v>
      </c>
    </row>
    <row r="140" spans="4:18" x14ac:dyDescent="0.3">
      <c r="D140">
        <v>142</v>
      </c>
      <c r="E140">
        <v>2.91</v>
      </c>
      <c r="G140">
        <v>142</v>
      </c>
      <c r="H140">
        <v>3.15</v>
      </c>
      <c r="J140">
        <v>142</v>
      </c>
      <c r="K140">
        <v>3.22</v>
      </c>
      <c r="M140">
        <v>227</v>
      </c>
      <c r="N140">
        <v>3.92</v>
      </c>
      <c r="P140">
        <v>228</v>
      </c>
      <c r="Q140">
        <v>3.21</v>
      </c>
    </row>
    <row r="141" spans="4:18" x14ac:dyDescent="0.3">
      <c r="D141">
        <v>143</v>
      </c>
      <c r="E141">
        <v>2.91</v>
      </c>
      <c r="G141">
        <v>143</v>
      </c>
      <c r="H141">
        <v>3.15</v>
      </c>
      <c r="J141">
        <v>143</v>
      </c>
      <c r="K141">
        <v>3.22</v>
      </c>
      <c r="M141">
        <v>228</v>
      </c>
      <c r="N141">
        <v>3.92</v>
      </c>
      <c r="P141">
        <v>229</v>
      </c>
      <c r="Q141">
        <v>3.35</v>
      </c>
      <c r="R141">
        <v>0.01</v>
      </c>
    </row>
    <row r="142" spans="4:18" x14ac:dyDescent="0.3">
      <c r="D142">
        <v>144</v>
      </c>
      <c r="E142">
        <v>2.91</v>
      </c>
      <c r="G142">
        <v>144</v>
      </c>
      <c r="H142">
        <v>3.15</v>
      </c>
      <c r="J142">
        <v>144</v>
      </c>
      <c r="K142">
        <v>3.22</v>
      </c>
      <c r="M142">
        <v>229</v>
      </c>
      <c r="N142">
        <v>3.92</v>
      </c>
      <c r="P142">
        <v>230</v>
      </c>
      <c r="Q142">
        <v>3.35</v>
      </c>
    </row>
    <row r="143" spans="4:18" x14ac:dyDescent="0.3">
      <c r="D143">
        <v>145</v>
      </c>
      <c r="E143">
        <v>2.91</v>
      </c>
      <c r="G143">
        <v>145</v>
      </c>
      <c r="H143">
        <v>3.15</v>
      </c>
      <c r="J143">
        <v>145</v>
      </c>
      <c r="K143">
        <v>3.22</v>
      </c>
      <c r="M143">
        <v>230</v>
      </c>
      <c r="N143">
        <v>3.92</v>
      </c>
      <c r="P143">
        <v>231</v>
      </c>
      <c r="Q143">
        <v>3.35</v>
      </c>
    </row>
    <row r="144" spans="4:18" x14ac:dyDescent="0.3">
      <c r="D144">
        <v>146</v>
      </c>
      <c r="E144">
        <v>2.98</v>
      </c>
      <c r="G144">
        <v>146</v>
      </c>
      <c r="H144">
        <v>3.23</v>
      </c>
      <c r="I144">
        <v>4.0000000000000001E-3</v>
      </c>
      <c r="J144">
        <v>146</v>
      </c>
      <c r="K144">
        <v>3.28</v>
      </c>
      <c r="L144">
        <v>6.0000000000000001E-3</v>
      </c>
      <c r="M144">
        <v>231</v>
      </c>
      <c r="N144">
        <v>3.92</v>
      </c>
      <c r="P144">
        <v>232</v>
      </c>
      <c r="Q144">
        <v>3.35</v>
      </c>
    </row>
    <row r="145" spans="4:18" x14ac:dyDescent="0.3">
      <c r="D145">
        <v>147</v>
      </c>
      <c r="E145">
        <v>2.98</v>
      </c>
      <c r="G145">
        <v>147</v>
      </c>
      <c r="H145">
        <v>3.23</v>
      </c>
      <c r="J145">
        <v>147</v>
      </c>
      <c r="K145">
        <v>3.28</v>
      </c>
      <c r="M145">
        <v>232</v>
      </c>
      <c r="N145">
        <v>3.92</v>
      </c>
      <c r="P145">
        <v>233</v>
      </c>
      <c r="Q145">
        <v>3.35</v>
      </c>
    </row>
    <row r="146" spans="4:18" x14ac:dyDescent="0.3">
      <c r="D146">
        <v>148</v>
      </c>
      <c r="E146">
        <v>2.98</v>
      </c>
      <c r="G146">
        <v>148</v>
      </c>
      <c r="H146">
        <v>3.23</v>
      </c>
      <c r="J146">
        <v>148</v>
      </c>
      <c r="K146">
        <v>3.28</v>
      </c>
      <c r="M146">
        <v>233</v>
      </c>
      <c r="N146">
        <v>3.92</v>
      </c>
      <c r="P146">
        <v>234</v>
      </c>
      <c r="Q146">
        <v>3.35</v>
      </c>
    </row>
    <row r="147" spans="4:18" x14ac:dyDescent="0.3">
      <c r="D147">
        <v>149</v>
      </c>
      <c r="E147">
        <v>2.98</v>
      </c>
      <c r="G147">
        <v>149</v>
      </c>
      <c r="H147">
        <v>3.23</v>
      </c>
      <c r="J147">
        <v>149</v>
      </c>
      <c r="K147">
        <v>3.28</v>
      </c>
      <c r="M147">
        <v>234</v>
      </c>
      <c r="N147">
        <v>3.92</v>
      </c>
      <c r="P147">
        <v>235</v>
      </c>
      <c r="Q147">
        <v>3.35</v>
      </c>
    </row>
    <row r="148" spans="4:18" x14ac:dyDescent="0.3">
      <c r="D148">
        <v>150</v>
      </c>
      <c r="E148">
        <v>2.98</v>
      </c>
      <c r="G148">
        <v>150</v>
      </c>
      <c r="H148">
        <v>3.23</v>
      </c>
      <c r="J148">
        <v>150</v>
      </c>
      <c r="K148">
        <v>3.28</v>
      </c>
      <c r="M148">
        <v>235</v>
      </c>
      <c r="N148">
        <v>3.92</v>
      </c>
      <c r="P148">
        <v>236</v>
      </c>
      <c r="Q148">
        <v>3.35</v>
      </c>
    </row>
    <row r="149" spans="4:18" x14ac:dyDescent="0.3">
      <c r="D149">
        <v>151</v>
      </c>
      <c r="E149">
        <v>2.98</v>
      </c>
      <c r="G149">
        <v>151</v>
      </c>
      <c r="H149">
        <v>3.23</v>
      </c>
      <c r="J149">
        <v>151</v>
      </c>
      <c r="K149">
        <v>3.28</v>
      </c>
      <c r="M149">
        <v>236</v>
      </c>
      <c r="N149">
        <v>3.92</v>
      </c>
      <c r="P149">
        <v>237</v>
      </c>
      <c r="Q149">
        <v>3.35</v>
      </c>
    </row>
    <row r="150" spans="4:18" x14ac:dyDescent="0.3">
      <c r="D150">
        <v>152</v>
      </c>
      <c r="E150">
        <v>2.98</v>
      </c>
      <c r="G150">
        <v>152</v>
      </c>
      <c r="H150">
        <v>3.23</v>
      </c>
      <c r="J150">
        <v>152</v>
      </c>
      <c r="K150">
        <v>3.28</v>
      </c>
      <c r="M150">
        <v>237</v>
      </c>
      <c r="N150">
        <v>3.92</v>
      </c>
      <c r="O150">
        <v>3.5000000000000001E-3</v>
      </c>
      <c r="P150">
        <v>238</v>
      </c>
      <c r="Q150">
        <v>3.45</v>
      </c>
      <c r="R150">
        <v>0.01</v>
      </c>
    </row>
    <row r="151" spans="4:18" x14ac:dyDescent="0.3">
      <c r="D151">
        <v>153</v>
      </c>
      <c r="E151">
        <v>2.98</v>
      </c>
      <c r="G151">
        <v>153</v>
      </c>
      <c r="H151">
        <v>3.23</v>
      </c>
      <c r="J151">
        <v>153</v>
      </c>
      <c r="K151">
        <v>3.28</v>
      </c>
      <c r="M151">
        <v>238</v>
      </c>
      <c r="N151">
        <v>4.03</v>
      </c>
      <c r="P151">
        <v>239</v>
      </c>
      <c r="Q151">
        <v>3.45</v>
      </c>
    </row>
    <row r="152" spans="4:18" x14ac:dyDescent="0.3">
      <c r="D152">
        <v>154</v>
      </c>
      <c r="E152">
        <v>2.98</v>
      </c>
      <c r="G152">
        <v>154</v>
      </c>
      <c r="H152">
        <v>3.23</v>
      </c>
      <c r="J152">
        <v>154</v>
      </c>
      <c r="K152">
        <v>3.28</v>
      </c>
      <c r="M152">
        <v>239</v>
      </c>
      <c r="N152">
        <v>4.03</v>
      </c>
      <c r="P152">
        <v>240</v>
      </c>
      <c r="Q152">
        <v>3.45</v>
      </c>
    </row>
    <row r="153" spans="4:18" x14ac:dyDescent="0.3">
      <c r="D153">
        <v>155</v>
      </c>
      <c r="E153">
        <v>2.98</v>
      </c>
      <c r="G153">
        <v>155</v>
      </c>
      <c r="H153">
        <v>3.23</v>
      </c>
      <c r="J153">
        <v>155</v>
      </c>
      <c r="K153">
        <v>3.28</v>
      </c>
      <c r="M153">
        <v>240</v>
      </c>
      <c r="N153">
        <v>4.03</v>
      </c>
      <c r="P153">
        <v>241</v>
      </c>
      <c r="Q153">
        <v>3.45</v>
      </c>
    </row>
    <row r="154" spans="4:18" x14ac:dyDescent="0.3">
      <c r="D154">
        <v>156</v>
      </c>
      <c r="E154">
        <v>2.98</v>
      </c>
      <c r="G154">
        <v>156</v>
      </c>
      <c r="H154">
        <v>3.23</v>
      </c>
      <c r="J154">
        <v>156</v>
      </c>
      <c r="K154">
        <v>3.28</v>
      </c>
      <c r="M154">
        <v>241</v>
      </c>
      <c r="N154">
        <v>4.03</v>
      </c>
      <c r="P154">
        <v>242</v>
      </c>
      <c r="Q154">
        <v>3.45</v>
      </c>
    </row>
    <row r="155" spans="4:18" x14ac:dyDescent="0.3">
      <c r="D155">
        <v>157</v>
      </c>
      <c r="E155">
        <v>2.98</v>
      </c>
      <c r="G155">
        <v>157</v>
      </c>
      <c r="H155">
        <v>3.23</v>
      </c>
      <c r="J155">
        <v>157</v>
      </c>
      <c r="K155">
        <v>3.28</v>
      </c>
      <c r="M155">
        <v>242</v>
      </c>
      <c r="N155">
        <v>4.03</v>
      </c>
      <c r="P155">
        <v>243</v>
      </c>
      <c r="Q155">
        <v>3.45</v>
      </c>
    </row>
    <row r="156" spans="4:18" x14ac:dyDescent="0.3">
      <c r="D156">
        <v>158</v>
      </c>
      <c r="E156">
        <v>2.98</v>
      </c>
      <c r="G156">
        <v>158</v>
      </c>
      <c r="H156">
        <v>3.23</v>
      </c>
      <c r="J156">
        <v>158</v>
      </c>
      <c r="K156">
        <v>3.28</v>
      </c>
      <c r="M156">
        <v>243</v>
      </c>
      <c r="N156">
        <v>4.03</v>
      </c>
      <c r="P156">
        <v>244</v>
      </c>
      <c r="Q156">
        <v>3.45</v>
      </c>
    </row>
    <row r="157" spans="4:18" x14ac:dyDescent="0.3">
      <c r="D157">
        <v>159</v>
      </c>
      <c r="E157">
        <v>2.98</v>
      </c>
      <c r="G157">
        <v>159</v>
      </c>
      <c r="H157">
        <v>3.23</v>
      </c>
      <c r="J157">
        <v>159</v>
      </c>
      <c r="K157">
        <v>3.28</v>
      </c>
      <c r="M157">
        <v>244</v>
      </c>
      <c r="N157">
        <v>4.03</v>
      </c>
      <c r="P157">
        <v>245</v>
      </c>
      <c r="Q157">
        <v>3.45</v>
      </c>
    </row>
    <row r="158" spans="4:18" x14ac:dyDescent="0.3">
      <c r="D158">
        <v>160</v>
      </c>
      <c r="E158">
        <v>2.98</v>
      </c>
      <c r="G158">
        <v>160</v>
      </c>
      <c r="H158">
        <v>3.23</v>
      </c>
      <c r="J158">
        <v>160</v>
      </c>
      <c r="K158">
        <v>3.28</v>
      </c>
      <c r="M158">
        <v>245</v>
      </c>
      <c r="N158">
        <v>4.03</v>
      </c>
      <c r="P158">
        <v>246</v>
      </c>
      <c r="Q158">
        <v>3.45</v>
      </c>
    </row>
    <row r="159" spans="4:18" x14ac:dyDescent="0.3">
      <c r="D159">
        <v>161</v>
      </c>
      <c r="E159">
        <v>2.98</v>
      </c>
      <c r="G159">
        <v>161</v>
      </c>
      <c r="H159">
        <v>3.23</v>
      </c>
      <c r="J159">
        <v>161</v>
      </c>
      <c r="K159">
        <v>3.28</v>
      </c>
      <c r="M159">
        <v>246</v>
      </c>
      <c r="N159">
        <v>4.03</v>
      </c>
      <c r="P159">
        <v>247</v>
      </c>
      <c r="Q159">
        <v>3.55</v>
      </c>
      <c r="R159">
        <v>0.01</v>
      </c>
    </row>
    <row r="160" spans="4:18" x14ac:dyDescent="0.3">
      <c r="D160">
        <v>162</v>
      </c>
      <c r="E160">
        <v>2.98</v>
      </c>
      <c r="G160">
        <v>162</v>
      </c>
      <c r="H160">
        <v>3.23</v>
      </c>
      <c r="J160">
        <v>162</v>
      </c>
      <c r="K160">
        <v>3.28</v>
      </c>
      <c r="M160">
        <v>247</v>
      </c>
      <c r="N160">
        <v>4.03</v>
      </c>
      <c r="P160">
        <v>248</v>
      </c>
      <c r="Q160">
        <v>3.55</v>
      </c>
    </row>
    <row r="161" spans="4:18" x14ac:dyDescent="0.3">
      <c r="D161">
        <v>163</v>
      </c>
      <c r="E161">
        <v>2.98</v>
      </c>
      <c r="G161">
        <v>163</v>
      </c>
      <c r="H161">
        <v>3.23</v>
      </c>
      <c r="J161">
        <v>163</v>
      </c>
      <c r="K161">
        <v>3.28</v>
      </c>
      <c r="M161">
        <v>248</v>
      </c>
      <c r="N161">
        <v>4.03</v>
      </c>
      <c r="P161">
        <v>249</v>
      </c>
      <c r="Q161">
        <v>3.55</v>
      </c>
    </row>
    <row r="162" spans="4:18" x14ac:dyDescent="0.3">
      <c r="D162">
        <v>164</v>
      </c>
      <c r="E162">
        <v>2.98</v>
      </c>
      <c r="G162">
        <v>164</v>
      </c>
      <c r="H162">
        <v>3.23</v>
      </c>
      <c r="J162">
        <v>164</v>
      </c>
      <c r="K162">
        <v>3.28</v>
      </c>
      <c r="M162">
        <v>249</v>
      </c>
      <c r="N162">
        <v>4.03</v>
      </c>
      <c r="P162">
        <v>250</v>
      </c>
      <c r="Q162">
        <v>3.55</v>
      </c>
    </row>
    <row r="163" spans="4:18" x14ac:dyDescent="0.3">
      <c r="D163">
        <v>165</v>
      </c>
      <c r="E163">
        <v>3.08</v>
      </c>
      <c r="G163">
        <v>165</v>
      </c>
      <c r="H163">
        <v>3.31</v>
      </c>
      <c r="I163">
        <v>5.4999999999999997E-3</v>
      </c>
      <c r="J163">
        <v>165</v>
      </c>
      <c r="K163">
        <v>3.4</v>
      </c>
      <c r="L163">
        <v>7.4999999999999997E-3</v>
      </c>
      <c r="M163">
        <v>250</v>
      </c>
      <c r="N163">
        <v>4.03</v>
      </c>
      <c r="P163">
        <v>251</v>
      </c>
      <c r="Q163">
        <v>3.55</v>
      </c>
    </row>
    <row r="164" spans="4:18" x14ac:dyDescent="0.3">
      <c r="D164">
        <v>166</v>
      </c>
      <c r="E164">
        <v>3.08</v>
      </c>
      <c r="G164">
        <v>166</v>
      </c>
      <c r="H164">
        <v>3.31</v>
      </c>
      <c r="J164">
        <v>166</v>
      </c>
      <c r="K164">
        <v>3.4</v>
      </c>
      <c r="M164">
        <v>251</v>
      </c>
      <c r="N164">
        <v>4.03</v>
      </c>
      <c r="P164">
        <v>252</v>
      </c>
      <c r="Q164">
        <v>3.55</v>
      </c>
    </row>
    <row r="165" spans="4:18" x14ac:dyDescent="0.3">
      <c r="D165">
        <v>167</v>
      </c>
      <c r="E165">
        <v>3.08</v>
      </c>
      <c r="G165">
        <v>167</v>
      </c>
      <c r="H165">
        <v>3.31</v>
      </c>
      <c r="J165">
        <v>167</v>
      </c>
      <c r="K165">
        <v>3.4</v>
      </c>
      <c r="M165">
        <v>252</v>
      </c>
      <c r="N165">
        <v>4.03</v>
      </c>
      <c r="P165">
        <v>253</v>
      </c>
      <c r="Q165">
        <v>3.55</v>
      </c>
    </row>
    <row r="166" spans="4:18" x14ac:dyDescent="0.3">
      <c r="D166">
        <v>168</v>
      </c>
      <c r="E166">
        <v>3.08</v>
      </c>
      <c r="G166">
        <v>168</v>
      </c>
      <c r="H166">
        <v>3.31</v>
      </c>
      <c r="J166">
        <v>168</v>
      </c>
      <c r="K166">
        <v>3.4</v>
      </c>
      <c r="M166">
        <v>253</v>
      </c>
      <c r="N166">
        <v>4.03</v>
      </c>
      <c r="P166">
        <v>254</v>
      </c>
      <c r="Q166">
        <v>3.55</v>
      </c>
    </row>
    <row r="167" spans="4:18" x14ac:dyDescent="0.3">
      <c r="D167">
        <v>169</v>
      </c>
      <c r="E167">
        <v>3.08</v>
      </c>
      <c r="G167">
        <v>169</v>
      </c>
      <c r="H167">
        <v>3.31</v>
      </c>
      <c r="J167">
        <v>169</v>
      </c>
      <c r="K167">
        <v>3.4</v>
      </c>
      <c r="M167">
        <v>254</v>
      </c>
      <c r="N167">
        <v>4.03</v>
      </c>
      <c r="P167">
        <v>255</v>
      </c>
      <c r="Q167">
        <v>3.55</v>
      </c>
    </row>
    <row r="168" spans="4:18" x14ac:dyDescent="0.3">
      <c r="D168">
        <v>170</v>
      </c>
      <c r="E168">
        <v>3.08</v>
      </c>
      <c r="G168">
        <v>170</v>
      </c>
      <c r="H168">
        <v>3.31</v>
      </c>
      <c r="J168">
        <v>170</v>
      </c>
      <c r="K168">
        <v>3.4</v>
      </c>
      <c r="M168">
        <v>255</v>
      </c>
      <c r="N168">
        <v>4.03</v>
      </c>
      <c r="O168">
        <v>5.0000000000000001E-3</v>
      </c>
      <c r="P168">
        <v>256</v>
      </c>
      <c r="Q168">
        <v>3.65</v>
      </c>
      <c r="R168">
        <v>3.0000000000000001E-3</v>
      </c>
    </row>
    <row r="169" spans="4:18" x14ac:dyDescent="0.3">
      <c r="D169">
        <v>171</v>
      </c>
      <c r="E169">
        <v>3.08</v>
      </c>
      <c r="G169">
        <v>171</v>
      </c>
      <c r="H169">
        <v>3.31</v>
      </c>
      <c r="J169">
        <v>171</v>
      </c>
      <c r="K169">
        <v>3.4</v>
      </c>
      <c r="M169">
        <v>256</v>
      </c>
      <c r="N169">
        <v>4.0999999999999996</v>
      </c>
      <c r="P169">
        <v>257</v>
      </c>
      <c r="Q169">
        <v>3.65</v>
      </c>
    </row>
    <row r="170" spans="4:18" x14ac:dyDescent="0.3">
      <c r="D170">
        <v>172</v>
      </c>
      <c r="E170">
        <v>3.08</v>
      </c>
      <c r="G170">
        <v>172</v>
      </c>
      <c r="H170">
        <v>3.31</v>
      </c>
      <c r="J170">
        <v>172</v>
      </c>
      <c r="K170">
        <v>3.4</v>
      </c>
      <c r="M170">
        <v>257</v>
      </c>
      <c r="N170">
        <v>4.0999999999999996</v>
      </c>
      <c r="P170">
        <v>258</v>
      </c>
      <c r="Q170">
        <v>3.65</v>
      </c>
    </row>
    <row r="171" spans="4:18" x14ac:dyDescent="0.3">
      <c r="D171">
        <v>173</v>
      </c>
      <c r="E171">
        <v>3.08</v>
      </c>
      <c r="G171">
        <v>173</v>
      </c>
      <c r="H171">
        <v>3.31</v>
      </c>
      <c r="J171">
        <v>173</v>
      </c>
      <c r="K171">
        <v>3.4</v>
      </c>
      <c r="M171">
        <v>258</v>
      </c>
      <c r="N171">
        <v>4.0999999999999996</v>
      </c>
      <c r="P171">
        <v>259</v>
      </c>
      <c r="Q171">
        <v>3.65</v>
      </c>
    </row>
    <row r="172" spans="4:18" x14ac:dyDescent="0.3">
      <c r="D172">
        <v>174</v>
      </c>
      <c r="E172">
        <v>3.08</v>
      </c>
      <c r="G172">
        <v>174</v>
      </c>
      <c r="H172">
        <v>3.31</v>
      </c>
      <c r="J172">
        <v>174</v>
      </c>
      <c r="K172">
        <v>3.4</v>
      </c>
      <c r="M172">
        <v>259</v>
      </c>
      <c r="N172">
        <v>4.0999999999999996</v>
      </c>
      <c r="P172">
        <v>260</v>
      </c>
      <c r="Q172">
        <v>3.65</v>
      </c>
    </row>
    <row r="173" spans="4:18" x14ac:dyDescent="0.3">
      <c r="D173">
        <v>175</v>
      </c>
      <c r="E173">
        <v>3.08</v>
      </c>
      <c r="G173">
        <v>175</v>
      </c>
      <c r="H173">
        <v>3.31</v>
      </c>
      <c r="J173">
        <v>175</v>
      </c>
      <c r="K173">
        <v>3.4</v>
      </c>
      <c r="M173">
        <v>260</v>
      </c>
      <c r="N173">
        <v>4.0999999999999996</v>
      </c>
      <c r="P173">
        <v>261</v>
      </c>
      <c r="Q173">
        <v>3.65</v>
      </c>
    </row>
    <row r="174" spans="4:18" x14ac:dyDescent="0.3">
      <c r="D174">
        <v>176</v>
      </c>
      <c r="E174">
        <v>3.08</v>
      </c>
      <c r="G174">
        <v>176</v>
      </c>
      <c r="H174">
        <v>3.31</v>
      </c>
      <c r="J174">
        <v>176</v>
      </c>
      <c r="K174">
        <v>3.4</v>
      </c>
      <c r="M174">
        <v>261</v>
      </c>
      <c r="N174">
        <v>4.0999999999999996</v>
      </c>
      <c r="P174">
        <v>262</v>
      </c>
      <c r="Q174">
        <v>3.65</v>
      </c>
    </row>
    <row r="175" spans="4:18" x14ac:dyDescent="0.3">
      <c r="D175">
        <v>177</v>
      </c>
      <c r="E175">
        <v>3.08</v>
      </c>
      <c r="G175">
        <v>177</v>
      </c>
      <c r="H175">
        <v>3.31</v>
      </c>
      <c r="J175">
        <v>177</v>
      </c>
      <c r="K175">
        <v>3.4</v>
      </c>
      <c r="M175">
        <v>262</v>
      </c>
      <c r="N175">
        <v>4.0999999999999996</v>
      </c>
      <c r="P175">
        <v>263</v>
      </c>
      <c r="Q175">
        <v>3.65</v>
      </c>
    </row>
    <row r="176" spans="4:18" x14ac:dyDescent="0.3">
      <c r="D176">
        <v>178</v>
      </c>
      <c r="E176">
        <v>3.08</v>
      </c>
      <c r="G176">
        <v>178</v>
      </c>
      <c r="H176">
        <v>3.31</v>
      </c>
      <c r="J176">
        <v>178</v>
      </c>
      <c r="K176">
        <v>3.4</v>
      </c>
      <c r="M176">
        <v>263</v>
      </c>
      <c r="N176">
        <v>4.0999999999999996</v>
      </c>
      <c r="P176">
        <v>264</v>
      </c>
      <c r="Q176">
        <v>3.65</v>
      </c>
    </row>
    <row r="177" spans="4:18" x14ac:dyDescent="0.3">
      <c r="D177">
        <v>179</v>
      </c>
      <c r="E177">
        <v>3.08</v>
      </c>
      <c r="G177">
        <v>179</v>
      </c>
      <c r="H177">
        <v>3.31</v>
      </c>
      <c r="J177">
        <v>179</v>
      </c>
      <c r="K177">
        <v>3.4</v>
      </c>
      <c r="M177">
        <v>264</v>
      </c>
      <c r="N177">
        <v>4.0999999999999996</v>
      </c>
      <c r="P177">
        <v>265</v>
      </c>
      <c r="Q177">
        <v>3.68</v>
      </c>
      <c r="R177">
        <v>3.0000000000000001E-3</v>
      </c>
    </row>
    <row r="178" spans="4:18" x14ac:dyDescent="0.3">
      <c r="D178">
        <v>180</v>
      </c>
      <c r="E178">
        <v>3.08</v>
      </c>
      <c r="G178">
        <v>180</v>
      </c>
      <c r="H178">
        <v>3.31</v>
      </c>
      <c r="J178">
        <v>180</v>
      </c>
      <c r="K178">
        <v>3.4</v>
      </c>
      <c r="M178">
        <v>265</v>
      </c>
      <c r="N178">
        <v>4.0999999999999996</v>
      </c>
      <c r="P178">
        <v>266</v>
      </c>
      <c r="Q178">
        <v>3.68</v>
      </c>
    </row>
    <row r="179" spans="4:18" x14ac:dyDescent="0.3">
      <c r="D179">
        <v>181</v>
      </c>
      <c r="E179">
        <v>3.08</v>
      </c>
      <c r="G179">
        <v>181</v>
      </c>
      <c r="H179">
        <v>3.31</v>
      </c>
      <c r="J179">
        <v>181</v>
      </c>
      <c r="K179">
        <v>3.4</v>
      </c>
      <c r="M179">
        <v>266</v>
      </c>
      <c r="N179">
        <v>4.0999999999999996</v>
      </c>
      <c r="P179">
        <v>267</v>
      </c>
      <c r="Q179">
        <v>3.68</v>
      </c>
    </row>
    <row r="180" spans="4:18" x14ac:dyDescent="0.3">
      <c r="D180">
        <v>182</v>
      </c>
      <c r="E180">
        <v>3.08</v>
      </c>
      <c r="G180">
        <v>182</v>
      </c>
      <c r="H180">
        <v>3.31</v>
      </c>
      <c r="J180">
        <v>182</v>
      </c>
      <c r="K180">
        <v>3.4</v>
      </c>
      <c r="M180">
        <v>267</v>
      </c>
      <c r="N180">
        <v>4.0999999999999996</v>
      </c>
      <c r="P180">
        <v>268</v>
      </c>
      <c r="Q180">
        <v>3.68</v>
      </c>
    </row>
    <row r="181" spans="4:18" x14ac:dyDescent="0.3">
      <c r="D181">
        <v>183</v>
      </c>
      <c r="E181">
        <v>3.19</v>
      </c>
      <c r="G181">
        <v>183</v>
      </c>
      <c r="H181">
        <v>3.42</v>
      </c>
      <c r="I181">
        <v>5.4999999999999997E-3</v>
      </c>
      <c r="J181">
        <v>183</v>
      </c>
      <c r="K181">
        <v>3.55</v>
      </c>
      <c r="L181">
        <v>7.4999999999999997E-3</v>
      </c>
      <c r="M181">
        <v>268</v>
      </c>
      <c r="N181">
        <v>4.0999999999999996</v>
      </c>
      <c r="P181">
        <v>269</v>
      </c>
      <c r="Q181">
        <v>3.68</v>
      </c>
    </row>
    <row r="182" spans="4:18" x14ac:dyDescent="0.3">
      <c r="D182">
        <v>184</v>
      </c>
      <c r="E182">
        <v>3.19</v>
      </c>
      <c r="G182">
        <v>184</v>
      </c>
      <c r="H182">
        <v>3.42</v>
      </c>
      <c r="J182">
        <v>184</v>
      </c>
      <c r="K182">
        <v>3.55</v>
      </c>
      <c r="M182">
        <v>269</v>
      </c>
      <c r="N182">
        <v>4.0999999999999996</v>
      </c>
      <c r="P182">
        <v>270</v>
      </c>
      <c r="Q182">
        <v>3.68</v>
      </c>
    </row>
    <row r="183" spans="4:18" x14ac:dyDescent="0.3">
      <c r="D183">
        <v>185</v>
      </c>
      <c r="E183">
        <v>3.19</v>
      </c>
      <c r="G183">
        <v>185</v>
      </c>
      <c r="H183">
        <v>3.42</v>
      </c>
      <c r="J183">
        <v>185</v>
      </c>
      <c r="K183">
        <v>3.55</v>
      </c>
      <c r="M183">
        <v>270</v>
      </c>
      <c r="N183">
        <v>4.0999999999999996</v>
      </c>
      <c r="P183">
        <v>271</v>
      </c>
      <c r="Q183">
        <v>3.68</v>
      </c>
    </row>
    <row r="184" spans="4:18" x14ac:dyDescent="0.3">
      <c r="D184">
        <v>186</v>
      </c>
      <c r="E184">
        <v>3.19</v>
      </c>
      <c r="G184">
        <v>186</v>
      </c>
      <c r="H184">
        <v>3.42</v>
      </c>
      <c r="J184">
        <v>186</v>
      </c>
      <c r="K184">
        <v>3.55</v>
      </c>
      <c r="M184">
        <v>271</v>
      </c>
      <c r="N184">
        <v>4.0999999999999996</v>
      </c>
      <c r="P184">
        <v>272</v>
      </c>
      <c r="Q184">
        <v>3.68</v>
      </c>
    </row>
    <row r="185" spans="4:18" x14ac:dyDescent="0.3">
      <c r="D185">
        <v>187</v>
      </c>
      <c r="E185">
        <v>3.19</v>
      </c>
      <c r="G185">
        <v>187</v>
      </c>
      <c r="H185">
        <v>3.42</v>
      </c>
      <c r="J185">
        <v>187</v>
      </c>
      <c r="K185">
        <v>3.55</v>
      </c>
      <c r="M185">
        <v>272</v>
      </c>
      <c r="N185">
        <v>4.0999999999999996</v>
      </c>
      <c r="P185">
        <v>273</v>
      </c>
      <c r="Q185">
        <v>3.68</v>
      </c>
    </row>
    <row r="186" spans="4:18" x14ac:dyDescent="0.3">
      <c r="D186">
        <v>188</v>
      </c>
      <c r="E186">
        <v>3.19</v>
      </c>
      <c r="G186">
        <v>188</v>
      </c>
      <c r="H186">
        <v>3.42</v>
      </c>
      <c r="J186">
        <v>188</v>
      </c>
      <c r="K186">
        <v>3.55</v>
      </c>
      <c r="M186">
        <v>273</v>
      </c>
      <c r="N186">
        <v>4.0999999999999996</v>
      </c>
      <c r="O186">
        <v>5.4999999999999997E-3</v>
      </c>
      <c r="P186">
        <v>274</v>
      </c>
      <c r="Q186">
        <v>3.71</v>
      </c>
      <c r="R186">
        <v>0</v>
      </c>
    </row>
    <row r="187" spans="4:18" x14ac:dyDescent="0.3">
      <c r="D187">
        <v>189</v>
      </c>
      <c r="E187">
        <v>3.19</v>
      </c>
      <c r="G187">
        <v>189</v>
      </c>
      <c r="H187">
        <v>3.42</v>
      </c>
      <c r="J187">
        <v>189</v>
      </c>
      <c r="K187">
        <v>3.55</v>
      </c>
      <c r="M187">
        <v>274</v>
      </c>
      <c r="N187">
        <v>4.2</v>
      </c>
      <c r="P187">
        <v>275</v>
      </c>
      <c r="Q187">
        <v>3.71</v>
      </c>
    </row>
    <row r="188" spans="4:18" x14ac:dyDescent="0.3">
      <c r="D188">
        <v>190</v>
      </c>
      <c r="E188">
        <v>3.19</v>
      </c>
      <c r="G188">
        <v>190</v>
      </c>
      <c r="H188">
        <v>3.42</v>
      </c>
      <c r="J188">
        <v>190</v>
      </c>
      <c r="K188">
        <v>3.55</v>
      </c>
      <c r="M188">
        <v>275</v>
      </c>
      <c r="N188">
        <v>4.2</v>
      </c>
      <c r="P188">
        <v>276</v>
      </c>
      <c r="Q188">
        <v>3.71</v>
      </c>
    </row>
    <row r="189" spans="4:18" x14ac:dyDescent="0.3">
      <c r="D189">
        <v>191</v>
      </c>
      <c r="E189">
        <v>3.19</v>
      </c>
      <c r="G189">
        <v>191</v>
      </c>
      <c r="H189">
        <v>3.42</v>
      </c>
      <c r="J189">
        <v>191</v>
      </c>
      <c r="K189">
        <v>3.55</v>
      </c>
      <c r="M189">
        <v>276</v>
      </c>
      <c r="N189">
        <v>4.2</v>
      </c>
      <c r="P189">
        <v>277</v>
      </c>
      <c r="Q189">
        <v>3.71</v>
      </c>
    </row>
    <row r="190" spans="4:18" x14ac:dyDescent="0.3">
      <c r="D190">
        <v>192</v>
      </c>
      <c r="E190">
        <v>3.19</v>
      </c>
      <c r="G190">
        <v>192</v>
      </c>
      <c r="H190">
        <v>3.42</v>
      </c>
      <c r="J190">
        <v>192</v>
      </c>
      <c r="K190">
        <v>3.55</v>
      </c>
      <c r="M190">
        <v>277</v>
      </c>
      <c r="N190">
        <v>4.2</v>
      </c>
      <c r="P190">
        <v>278</v>
      </c>
      <c r="Q190">
        <v>3.71</v>
      </c>
    </row>
    <row r="191" spans="4:18" x14ac:dyDescent="0.3">
      <c r="D191">
        <v>193</v>
      </c>
      <c r="E191">
        <v>3.19</v>
      </c>
      <c r="G191">
        <v>193</v>
      </c>
      <c r="H191">
        <v>3.42</v>
      </c>
      <c r="J191">
        <v>193</v>
      </c>
      <c r="K191">
        <v>3.55</v>
      </c>
      <c r="M191">
        <v>278</v>
      </c>
      <c r="N191">
        <v>4.2</v>
      </c>
      <c r="P191">
        <v>279</v>
      </c>
      <c r="Q191">
        <v>3.71</v>
      </c>
    </row>
    <row r="192" spans="4:18" x14ac:dyDescent="0.3">
      <c r="D192">
        <v>194</v>
      </c>
      <c r="E192">
        <v>3.19</v>
      </c>
      <c r="G192">
        <v>194</v>
      </c>
      <c r="H192">
        <v>3.42</v>
      </c>
      <c r="J192">
        <v>194</v>
      </c>
      <c r="K192">
        <v>3.55</v>
      </c>
      <c r="M192">
        <v>279</v>
      </c>
      <c r="N192">
        <v>4.2</v>
      </c>
      <c r="P192">
        <v>280</v>
      </c>
      <c r="Q192">
        <v>3.71</v>
      </c>
    </row>
    <row r="193" spans="4:18" x14ac:dyDescent="0.3">
      <c r="D193">
        <v>195</v>
      </c>
      <c r="E193">
        <v>3.19</v>
      </c>
      <c r="G193">
        <v>195</v>
      </c>
      <c r="H193">
        <v>3.42</v>
      </c>
      <c r="J193">
        <v>195</v>
      </c>
      <c r="K193">
        <v>3.55</v>
      </c>
      <c r="M193">
        <v>280</v>
      </c>
      <c r="N193">
        <v>4.2</v>
      </c>
      <c r="P193">
        <v>281</v>
      </c>
      <c r="Q193">
        <v>3.71</v>
      </c>
    </row>
    <row r="194" spans="4:18" x14ac:dyDescent="0.3">
      <c r="D194">
        <v>196</v>
      </c>
      <c r="E194">
        <v>3.19</v>
      </c>
      <c r="G194">
        <v>196</v>
      </c>
      <c r="H194">
        <v>3.42</v>
      </c>
      <c r="J194">
        <v>196</v>
      </c>
      <c r="K194">
        <v>3.55</v>
      </c>
      <c r="M194">
        <v>281</v>
      </c>
      <c r="N194">
        <v>4.2</v>
      </c>
      <c r="P194">
        <v>282</v>
      </c>
      <c r="Q194">
        <v>3.71</v>
      </c>
    </row>
    <row r="195" spans="4:18" x14ac:dyDescent="0.3">
      <c r="D195">
        <v>197</v>
      </c>
      <c r="E195">
        <v>3.19</v>
      </c>
      <c r="G195">
        <v>197</v>
      </c>
      <c r="H195">
        <v>3.42</v>
      </c>
      <c r="J195">
        <v>197</v>
      </c>
      <c r="K195">
        <v>3.55</v>
      </c>
      <c r="M195">
        <v>282</v>
      </c>
      <c r="N195">
        <v>4.2</v>
      </c>
      <c r="P195">
        <v>283</v>
      </c>
      <c r="Q195">
        <v>3.71</v>
      </c>
    </row>
    <row r="196" spans="4:18" x14ac:dyDescent="0.3">
      <c r="D196">
        <v>198</v>
      </c>
      <c r="E196">
        <v>3.19</v>
      </c>
      <c r="G196">
        <v>198</v>
      </c>
      <c r="H196">
        <v>3.42</v>
      </c>
      <c r="J196">
        <v>198</v>
      </c>
      <c r="K196">
        <v>3.55</v>
      </c>
      <c r="M196">
        <v>283</v>
      </c>
      <c r="N196">
        <v>4.2</v>
      </c>
      <c r="P196">
        <v>284</v>
      </c>
      <c r="Q196">
        <v>3.71</v>
      </c>
    </row>
    <row r="197" spans="4:18" x14ac:dyDescent="0.3">
      <c r="D197">
        <v>199</v>
      </c>
      <c r="E197">
        <v>3.19</v>
      </c>
      <c r="G197">
        <v>199</v>
      </c>
      <c r="H197">
        <v>3.42</v>
      </c>
      <c r="J197">
        <v>199</v>
      </c>
      <c r="K197">
        <v>3.55</v>
      </c>
      <c r="M197">
        <v>284</v>
      </c>
      <c r="N197">
        <v>4.2</v>
      </c>
      <c r="P197">
        <v>285</v>
      </c>
      <c r="Q197">
        <v>3.71</v>
      </c>
    </row>
    <row r="198" spans="4:18" x14ac:dyDescent="0.3">
      <c r="D198">
        <v>200</v>
      </c>
      <c r="E198">
        <v>3.19</v>
      </c>
      <c r="G198">
        <v>200</v>
      </c>
      <c r="H198">
        <v>3.42</v>
      </c>
      <c r="J198">
        <v>200</v>
      </c>
      <c r="K198">
        <v>3.55</v>
      </c>
      <c r="M198">
        <v>285</v>
      </c>
      <c r="N198">
        <v>4.2</v>
      </c>
      <c r="P198">
        <v>286</v>
      </c>
      <c r="Q198">
        <v>3.71</v>
      </c>
    </row>
    <row r="199" spans="4:18" x14ac:dyDescent="0.3">
      <c r="D199">
        <v>201</v>
      </c>
      <c r="E199">
        <v>3.32</v>
      </c>
      <c r="G199">
        <v>201</v>
      </c>
      <c r="H199">
        <v>3.53</v>
      </c>
      <c r="I199">
        <v>0</v>
      </c>
      <c r="J199">
        <v>201</v>
      </c>
      <c r="K199">
        <v>3.7</v>
      </c>
      <c r="L199">
        <v>0</v>
      </c>
      <c r="M199">
        <v>286</v>
      </c>
      <c r="N199">
        <v>4.2</v>
      </c>
      <c r="P199">
        <v>287</v>
      </c>
      <c r="Q199">
        <v>3.71</v>
      </c>
    </row>
    <row r="200" spans="4:18" x14ac:dyDescent="0.3">
      <c r="D200">
        <v>202</v>
      </c>
      <c r="E200">
        <v>3.32</v>
      </c>
      <c r="G200">
        <v>202</v>
      </c>
      <c r="H200">
        <v>3.53</v>
      </c>
      <c r="J200">
        <v>202</v>
      </c>
      <c r="K200">
        <v>3.7</v>
      </c>
      <c r="M200">
        <v>287</v>
      </c>
      <c r="N200">
        <v>4.2</v>
      </c>
      <c r="P200">
        <v>288</v>
      </c>
      <c r="Q200">
        <v>3.71</v>
      </c>
    </row>
    <row r="201" spans="4:18" x14ac:dyDescent="0.3">
      <c r="D201">
        <v>203</v>
      </c>
      <c r="E201">
        <v>3.32</v>
      </c>
      <c r="G201">
        <v>203</v>
      </c>
      <c r="H201">
        <v>3.53</v>
      </c>
      <c r="J201">
        <v>203</v>
      </c>
      <c r="K201">
        <v>3.7</v>
      </c>
      <c r="M201">
        <v>288</v>
      </c>
      <c r="N201">
        <v>4.2</v>
      </c>
      <c r="P201">
        <v>289</v>
      </c>
      <c r="Q201">
        <v>3.71</v>
      </c>
    </row>
    <row r="202" spans="4:18" x14ac:dyDescent="0.3">
      <c r="D202">
        <v>204</v>
      </c>
      <c r="E202">
        <v>3.32</v>
      </c>
      <c r="G202">
        <v>204</v>
      </c>
      <c r="H202">
        <v>3.53</v>
      </c>
      <c r="J202">
        <v>204</v>
      </c>
      <c r="K202">
        <v>3.7</v>
      </c>
      <c r="M202">
        <v>289</v>
      </c>
      <c r="N202">
        <v>4.2</v>
      </c>
      <c r="P202">
        <v>290</v>
      </c>
      <c r="Q202">
        <v>3.71</v>
      </c>
    </row>
    <row r="203" spans="4:18" x14ac:dyDescent="0.3">
      <c r="D203">
        <v>205</v>
      </c>
      <c r="E203">
        <v>3.32</v>
      </c>
      <c r="G203">
        <v>205</v>
      </c>
      <c r="H203">
        <v>3.53</v>
      </c>
      <c r="J203">
        <v>205</v>
      </c>
      <c r="K203">
        <v>3.7</v>
      </c>
      <c r="M203">
        <v>290</v>
      </c>
      <c r="N203">
        <v>4.2</v>
      </c>
      <c r="P203">
        <v>291</v>
      </c>
      <c r="Q203">
        <v>3.71</v>
      </c>
    </row>
    <row r="204" spans="4:18" x14ac:dyDescent="0.3">
      <c r="D204">
        <v>206</v>
      </c>
      <c r="E204">
        <v>3.32</v>
      </c>
      <c r="G204">
        <v>206</v>
      </c>
      <c r="H204">
        <v>3.53</v>
      </c>
      <c r="J204">
        <v>206</v>
      </c>
      <c r="K204">
        <v>3.7</v>
      </c>
      <c r="M204">
        <v>291</v>
      </c>
      <c r="N204">
        <v>4.2</v>
      </c>
      <c r="P204">
        <v>292</v>
      </c>
      <c r="Q204">
        <v>3.71</v>
      </c>
    </row>
    <row r="205" spans="4:18" x14ac:dyDescent="0.3">
      <c r="D205">
        <v>207</v>
      </c>
      <c r="E205">
        <v>3.32</v>
      </c>
      <c r="G205">
        <v>207</v>
      </c>
      <c r="H205">
        <v>3.53</v>
      </c>
      <c r="J205">
        <v>207</v>
      </c>
      <c r="K205">
        <v>3.7</v>
      </c>
      <c r="M205">
        <v>292</v>
      </c>
      <c r="N205">
        <v>4.2</v>
      </c>
      <c r="O205">
        <v>6.4999999999999997E-3</v>
      </c>
      <c r="P205">
        <v>293</v>
      </c>
      <c r="Q205">
        <v>3.79</v>
      </c>
      <c r="R205">
        <v>3.5000000000000001E-3</v>
      </c>
    </row>
    <row r="206" spans="4:18" x14ac:dyDescent="0.3">
      <c r="D206">
        <v>208</v>
      </c>
      <c r="E206">
        <v>3.32</v>
      </c>
      <c r="G206">
        <v>208</v>
      </c>
      <c r="H206">
        <v>3.53</v>
      </c>
      <c r="J206">
        <v>208</v>
      </c>
      <c r="K206">
        <v>3.7</v>
      </c>
      <c r="M206">
        <v>293</v>
      </c>
      <c r="N206">
        <v>4.3099999999999996</v>
      </c>
      <c r="P206">
        <v>294</v>
      </c>
      <c r="Q206">
        <v>3.7930000000000001</v>
      </c>
    </row>
    <row r="207" spans="4:18" x14ac:dyDescent="0.3">
      <c r="D207">
        <v>209</v>
      </c>
      <c r="E207">
        <v>3.32</v>
      </c>
      <c r="G207">
        <v>209</v>
      </c>
      <c r="H207">
        <v>3.53</v>
      </c>
      <c r="J207">
        <v>209</v>
      </c>
      <c r="K207">
        <v>3.7</v>
      </c>
      <c r="M207">
        <v>294</v>
      </c>
      <c r="N207">
        <v>4.3099999999999996</v>
      </c>
      <c r="P207">
        <v>295</v>
      </c>
      <c r="Q207">
        <v>3.7959999999999998</v>
      </c>
    </row>
    <row r="208" spans="4:18" x14ac:dyDescent="0.3">
      <c r="D208">
        <v>210</v>
      </c>
      <c r="E208">
        <v>3.32</v>
      </c>
      <c r="G208">
        <v>210</v>
      </c>
      <c r="H208">
        <v>3.53</v>
      </c>
      <c r="J208">
        <v>210</v>
      </c>
      <c r="K208">
        <v>3.7</v>
      </c>
      <c r="M208">
        <v>295</v>
      </c>
      <c r="N208">
        <v>4.3099999999999996</v>
      </c>
      <c r="P208">
        <v>296</v>
      </c>
      <c r="Q208">
        <v>3.7989999999999999</v>
      </c>
    </row>
    <row r="209" spans="4:18" x14ac:dyDescent="0.3">
      <c r="D209">
        <v>211</v>
      </c>
      <c r="E209">
        <v>3.32</v>
      </c>
      <c r="G209">
        <v>211</v>
      </c>
      <c r="H209">
        <v>3.53</v>
      </c>
      <c r="J209">
        <v>211</v>
      </c>
      <c r="K209">
        <v>3.7</v>
      </c>
      <c r="M209">
        <v>296</v>
      </c>
      <c r="N209">
        <v>4.3099999999999996</v>
      </c>
      <c r="P209">
        <v>297</v>
      </c>
      <c r="Q209">
        <v>3.802</v>
      </c>
    </row>
    <row r="210" spans="4:18" x14ac:dyDescent="0.3">
      <c r="D210">
        <v>212</v>
      </c>
      <c r="E210">
        <v>3.32</v>
      </c>
      <c r="G210">
        <v>212</v>
      </c>
      <c r="H210">
        <v>3.53</v>
      </c>
      <c r="J210">
        <v>212</v>
      </c>
      <c r="K210">
        <v>3.7</v>
      </c>
      <c r="M210">
        <v>297</v>
      </c>
      <c r="N210">
        <v>4.3099999999999996</v>
      </c>
      <c r="P210">
        <v>298</v>
      </c>
      <c r="Q210">
        <v>3.8050000000000002</v>
      </c>
    </row>
    <row r="211" spans="4:18" x14ac:dyDescent="0.3">
      <c r="D211">
        <v>213</v>
      </c>
      <c r="E211">
        <v>3.32</v>
      </c>
      <c r="G211">
        <v>213</v>
      </c>
      <c r="H211">
        <v>3.53</v>
      </c>
      <c r="J211">
        <v>213</v>
      </c>
      <c r="K211">
        <v>3.7</v>
      </c>
      <c r="M211">
        <v>298</v>
      </c>
      <c r="N211">
        <v>4.3099999999999996</v>
      </c>
      <c r="P211">
        <v>299</v>
      </c>
      <c r="Q211">
        <v>3.8079999999999998</v>
      </c>
    </row>
    <row r="212" spans="4:18" x14ac:dyDescent="0.3">
      <c r="D212">
        <v>214</v>
      </c>
      <c r="E212">
        <v>3.32</v>
      </c>
      <c r="G212">
        <v>214</v>
      </c>
      <c r="H212">
        <v>3.53</v>
      </c>
      <c r="J212">
        <v>214</v>
      </c>
      <c r="K212">
        <v>3.7</v>
      </c>
      <c r="M212">
        <v>299</v>
      </c>
      <c r="N212">
        <v>4.3099999999999996</v>
      </c>
      <c r="P212">
        <v>300</v>
      </c>
      <c r="Q212">
        <v>3.8109999999999999</v>
      </c>
    </row>
    <row r="213" spans="4:18" x14ac:dyDescent="0.3">
      <c r="D213">
        <v>215</v>
      </c>
      <c r="E213">
        <v>3.32</v>
      </c>
      <c r="G213">
        <v>215</v>
      </c>
      <c r="H213">
        <v>3.53</v>
      </c>
      <c r="J213">
        <v>215</v>
      </c>
      <c r="K213">
        <v>3.7</v>
      </c>
      <c r="M213">
        <v>300</v>
      </c>
      <c r="N213">
        <v>4.3099999999999996</v>
      </c>
      <c r="P213">
        <v>301</v>
      </c>
      <c r="Q213">
        <v>3.8140000000000001</v>
      </c>
    </row>
    <row r="214" spans="4:18" x14ac:dyDescent="0.3">
      <c r="D214">
        <v>216</v>
      </c>
      <c r="E214">
        <v>3.32</v>
      </c>
      <c r="G214">
        <v>216</v>
      </c>
      <c r="H214">
        <v>3.53</v>
      </c>
      <c r="J214">
        <v>216</v>
      </c>
      <c r="K214">
        <v>3.7</v>
      </c>
      <c r="M214">
        <v>301</v>
      </c>
      <c r="N214">
        <v>4.3099999999999996</v>
      </c>
      <c r="P214">
        <v>302</v>
      </c>
      <c r="Q214">
        <v>3.8250000000000002</v>
      </c>
      <c r="R214">
        <v>3.5000000000000001E-3</v>
      </c>
    </row>
    <row r="215" spans="4:18" x14ac:dyDescent="0.3">
      <c r="D215">
        <v>217</v>
      </c>
      <c r="E215">
        <v>3.32</v>
      </c>
      <c r="G215">
        <v>217</v>
      </c>
      <c r="H215">
        <v>3.53</v>
      </c>
      <c r="J215">
        <v>217</v>
      </c>
      <c r="K215">
        <v>3.7</v>
      </c>
      <c r="M215">
        <v>302</v>
      </c>
      <c r="N215">
        <v>4.3099999999999996</v>
      </c>
      <c r="P215">
        <v>303</v>
      </c>
      <c r="Q215">
        <v>3.8250000000000002</v>
      </c>
    </row>
    <row r="216" spans="4:18" x14ac:dyDescent="0.3">
      <c r="D216">
        <v>218</v>
      </c>
      <c r="E216">
        <v>3.32</v>
      </c>
      <c r="G216">
        <v>218</v>
      </c>
      <c r="H216">
        <v>3.53</v>
      </c>
      <c r="J216">
        <v>218</v>
      </c>
      <c r="K216">
        <v>3.7</v>
      </c>
      <c r="M216">
        <v>303</v>
      </c>
      <c r="N216">
        <v>4.3099999999999996</v>
      </c>
      <c r="P216">
        <v>304</v>
      </c>
      <c r="Q216">
        <v>3.8250000000000002</v>
      </c>
    </row>
    <row r="217" spans="4:18" x14ac:dyDescent="0.3">
      <c r="D217">
        <v>219</v>
      </c>
      <c r="E217">
        <v>3.32</v>
      </c>
      <c r="G217">
        <v>219</v>
      </c>
      <c r="H217">
        <v>3.53</v>
      </c>
      <c r="J217">
        <v>219</v>
      </c>
      <c r="K217">
        <v>3.7</v>
      </c>
      <c r="M217">
        <v>304</v>
      </c>
      <c r="N217">
        <v>4.3099999999999996</v>
      </c>
      <c r="P217">
        <v>305</v>
      </c>
      <c r="Q217">
        <v>3.8250000000000002</v>
      </c>
    </row>
    <row r="218" spans="4:18" x14ac:dyDescent="0.3">
      <c r="D218">
        <v>220</v>
      </c>
      <c r="E218">
        <v>3.45</v>
      </c>
      <c r="G218">
        <v>220</v>
      </c>
      <c r="H218">
        <v>3.53</v>
      </c>
      <c r="J218">
        <v>220</v>
      </c>
      <c r="K218">
        <v>3.7</v>
      </c>
      <c r="M218">
        <v>305</v>
      </c>
      <c r="N218">
        <v>4.3099999999999996</v>
      </c>
      <c r="P218">
        <v>306</v>
      </c>
      <c r="Q218">
        <v>3.8250000000000002</v>
      </c>
    </row>
    <row r="219" spans="4:18" x14ac:dyDescent="0.3">
      <c r="D219">
        <v>221</v>
      </c>
      <c r="E219">
        <v>3.45</v>
      </c>
      <c r="G219">
        <v>221</v>
      </c>
      <c r="H219">
        <v>3.53</v>
      </c>
      <c r="J219">
        <v>221</v>
      </c>
      <c r="K219">
        <v>3.7</v>
      </c>
      <c r="M219">
        <v>306</v>
      </c>
      <c r="N219">
        <v>4.3099999999999996</v>
      </c>
      <c r="P219">
        <v>307</v>
      </c>
      <c r="Q219">
        <v>3.8250000000000002</v>
      </c>
    </row>
    <row r="220" spans="4:18" x14ac:dyDescent="0.3">
      <c r="D220">
        <v>222</v>
      </c>
      <c r="E220">
        <v>3.45</v>
      </c>
      <c r="G220">
        <v>222</v>
      </c>
      <c r="H220">
        <v>3.53</v>
      </c>
      <c r="J220">
        <v>222</v>
      </c>
      <c r="K220">
        <v>3.7</v>
      </c>
      <c r="M220">
        <v>307</v>
      </c>
      <c r="N220">
        <v>4.3099999999999996</v>
      </c>
      <c r="P220">
        <v>308</v>
      </c>
      <c r="Q220">
        <v>3.8250000000000002</v>
      </c>
    </row>
    <row r="221" spans="4:18" x14ac:dyDescent="0.3">
      <c r="D221">
        <v>223</v>
      </c>
      <c r="E221">
        <v>3.45</v>
      </c>
      <c r="G221">
        <v>223</v>
      </c>
      <c r="H221">
        <v>3.53</v>
      </c>
      <c r="J221">
        <v>223</v>
      </c>
      <c r="K221">
        <v>3.7</v>
      </c>
      <c r="M221">
        <v>308</v>
      </c>
      <c r="N221">
        <v>4.3099999999999996</v>
      </c>
      <c r="P221">
        <v>309</v>
      </c>
      <c r="Q221">
        <v>3.8250000000000002</v>
      </c>
    </row>
    <row r="222" spans="4:18" x14ac:dyDescent="0.3">
      <c r="D222">
        <v>224</v>
      </c>
      <c r="E222">
        <v>3.45</v>
      </c>
      <c r="G222">
        <v>224</v>
      </c>
      <c r="H222">
        <v>3.53</v>
      </c>
      <c r="J222">
        <v>224</v>
      </c>
      <c r="K222">
        <v>3.7</v>
      </c>
      <c r="M222">
        <v>309</v>
      </c>
      <c r="N222">
        <v>4.3099999999999996</v>
      </c>
      <c r="P222">
        <v>310</v>
      </c>
      <c r="Q222">
        <v>3.8250000000000002</v>
      </c>
    </row>
    <row r="223" spans="4:18" x14ac:dyDescent="0.3">
      <c r="D223">
        <v>225</v>
      </c>
      <c r="E223">
        <v>3.45</v>
      </c>
      <c r="G223">
        <v>225</v>
      </c>
      <c r="H223">
        <v>3.53</v>
      </c>
      <c r="J223">
        <v>225</v>
      </c>
      <c r="K223">
        <v>3.7</v>
      </c>
      <c r="M223">
        <v>310</v>
      </c>
      <c r="N223">
        <v>4.3099999999999996</v>
      </c>
      <c r="O223">
        <v>6.0000000000000001E-3</v>
      </c>
      <c r="P223">
        <v>311</v>
      </c>
      <c r="Q223">
        <v>3.86</v>
      </c>
      <c r="R223">
        <v>3.0000000000000001E-3</v>
      </c>
    </row>
    <row r="224" spans="4:18" x14ac:dyDescent="0.3">
      <c r="D224">
        <v>226</v>
      </c>
      <c r="E224">
        <v>3.45</v>
      </c>
      <c r="G224">
        <v>226</v>
      </c>
      <c r="H224">
        <v>3.53</v>
      </c>
      <c r="J224">
        <v>226</v>
      </c>
      <c r="K224">
        <v>3.7</v>
      </c>
      <c r="M224">
        <v>311</v>
      </c>
      <c r="N224">
        <v>4.4400000000000004</v>
      </c>
      <c r="P224">
        <v>312</v>
      </c>
      <c r="Q224">
        <v>3.86</v>
      </c>
    </row>
    <row r="225" spans="4:18" x14ac:dyDescent="0.3">
      <c r="D225">
        <v>227</v>
      </c>
      <c r="E225">
        <v>3.45</v>
      </c>
      <c r="G225">
        <v>227</v>
      </c>
      <c r="H225">
        <v>3.53</v>
      </c>
      <c r="J225">
        <v>227</v>
      </c>
      <c r="K225">
        <v>3.7</v>
      </c>
      <c r="M225">
        <v>312</v>
      </c>
      <c r="N225">
        <v>4.4400000000000004</v>
      </c>
      <c r="P225">
        <v>313</v>
      </c>
      <c r="Q225">
        <v>3.86</v>
      </c>
    </row>
    <row r="226" spans="4:18" x14ac:dyDescent="0.3">
      <c r="D226">
        <v>228</v>
      </c>
      <c r="E226">
        <v>3.45</v>
      </c>
      <c r="G226">
        <v>228</v>
      </c>
      <c r="H226">
        <v>3.53</v>
      </c>
      <c r="J226">
        <v>228</v>
      </c>
      <c r="K226">
        <v>3.7</v>
      </c>
      <c r="M226">
        <v>313</v>
      </c>
      <c r="N226">
        <v>4.4400000000000004</v>
      </c>
      <c r="P226">
        <v>314</v>
      </c>
      <c r="Q226">
        <v>3.86</v>
      </c>
    </row>
    <row r="227" spans="4:18" x14ac:dyDescent="0.3">
      <c r="D227">
        <v>229</v>
      </c>
      <c r="E227">
        <v>3.45</v>
      </c>
      <c r="G227">
        <v>229</v>
      </c>
      <c r="H227">
        <v>3.53</v>
      </c>
      <c r="J227">
        <v>229</v>
      </c>
      <c r="K227">
        <v>3.7</v>
      </c>
      <c r="M227">
        <v>314</v>
      </c>
      <c r="N227">
        <v>4.4400000000000004</v>
      </c>
      <c r="P227">
        <v>315</v>
      </c>
      <c r="Q227">
        <v>3.86</v>
      </c>
    </row>
    <row r="228" spans="4:18" x14ac:dyDescent="0.3">
      <c r="D228">
        <v>230</v>
      </c>
      <c r="E228">
        <v>3.45</v>
      </c>
      <c r="G228">
        <v>230</v>
      </c>
      <c r="H228">
        <v>3.53</v>
      </c>
      <c r="J228">
        <v>230</v>
      </c>
      <c r="K228">
        <v>3.7</v>
      </c>
      <c r="M228">
        <v>315</v>
      </c>
      <c r="N228">
        <v>4.4400000000000004</v>
      </c>
      <c r="P228">
        <v>316</v>
      </c>
      <c r="Q228">
        <v>3.86</v>
      </c>
    </row>
    <row r="229" spans="4:18" x14ac:dyDescent="0.3">
      <c r="D229">
        <v>231</v>
      </c>
      <c r="E229">
        <v>3.45</v>
      </c>
      <c r="G229">
        <v>231</v>
      </c>
      <c r="H229">
        <v>3.53</v>
      </c>
      <c r="J229">
        <v>231</v>
      </c>
      <c r="K229">
        <v>3.7</v>
      </c>
      <c r="M229">
        <v>316</v>
      </c>
      <c r="N229">
        <v>4.4400000000000004</v>
      </c>
      <c r="P229">
        <v>317</v>
      </c>
      <c r="Q229">
        <v>3.86</v>
      </c>
    </row>
    <row r="230" spans="4:18" x14ac:dyDescent="0.3">
      <c r="D230">
        <v>232</v>
      </c>
      <c r="E230">
        <v>3.45</v>
      </c>
      <c r="G230">
        <v>232</v>
      </c>
      <c r="H230">
        <v>3.53</v>
      </c>
      <c r="J230">
        <v>232</v>
      </c>
      <c r="K230">
        <v>3.7</v>
      </c>
      <c r="M230">
        <v>317</v>
      </c>
      <c r="N230">
        <v>4.4400000000000004</v>
      </c>
      <c r="P230">
        <v>318</v>
      </c>
      <c r="Q230">
        <v>3.86</v>
      </c>
    </row>
    <row r="231" spans="4:18" x14ac:dyDescent="0.3">
      <c r="D231">
        <v>233</v>
      </c>
      <c r="E231">
        <v>3.45</v>
      </c>
      <c r="G231">
        <v>233</v>
      </c>
      <c r="H231">
        <v>3.53</v>
      </c>
      <c r="J231">
        <v>233</v>
      </c>
      <c r="K231">
        <v>3.7</v>
      </c>
      <c r="M231">
        <v>318</v>
      </c>
      <c r="N231">
        <v>4.4400000000000004</v>
      </c>
      <c r="P231">
        <v>319</v>
      </c>
      <c r="Q231">
        <v>3.86</v>
      </c>
    </row>
    <row r="232" spans="4:18" x14ac:dyDescent="0.3">
      <c r="D232">
        <v>234</v>
      </c>
      <c r="E232">
        <v>3.45</v>
      </c>
      <c r="G232">
        <v>234</v>
      </c>
      <c r="H232">
        <v>3.53</v>
      </c>
      <c r="J232">
        <v>234</v>
      </c>
      <c r="K232">
        <v>3.7</v>
      </c>
      <c r="M232">
        <v>319</v>
      </c>
      <c r="N232">
        <v>4.4400000000000004</v>
      </c>
      <c r="P232">
        <v>320</v>
      </c>
      <c r="Q232">
        <v>3.89</v>
      </c>
      <c r="R232">
        <v>3.0000000000000001E-3</v>
      </c>
    </row>
    <row r="233" spans="4:18" x14ac:dyDescent="0.3">
      <c r="D233">
        <v>235</v>
      </c>
      <c r="E233">
        <v>3.45</v>
      </c>
      <c r="G233">
        <v>235</v>
      </c>
      <c r="H233">
        <v>3.53</v>
      </c>
      <c r="J233">
        <v>235</v>
      </c>
      <c r="K233">
        <v>3.7</v>
      </c>
      <c r="M233">
        <v>320</v>
      </c>
      <c r="N233">
        <v>4.4400000000000004</v>
      </c>
      <c r="P233">
        <v>321</v>
      </c>
      <c r="Q233">
        <v>3.89</v>
      </c>
    </row>
    <row r="234" spans="4:18" x14ac:dyDescent="0.3">
      <c r="D234">
        <v>236</v>
      </c>
      <c r="E234">
        <v>3.45</v>
      </c>
      <c r="G234">
        <v>236</v>
      </c>
      <c r="H234">
        <v>3.53</v>
      </c>
      <c r="J234">
        <v>236</v>
      </c>
      <c r="K234">
        <v>3.7</v>
      </c>
      <c r="M234">
        <v>321</v>
      </c>
      <c r="N234">
        <v>4.4400000000000004</v>
      </c>
      <c r="P234">
        <v>322</v>
      </c>
      <c r="Q234">
        <v>3.89</v>
      </c>
    </row>
    <row r="235" spans="4:18" x14ac:dyDescent="0.3">
      <c r="D235">
        <v>237</v>
      </c>
      <c r="E235">
        <v>3.45</v>
      </c>
      <c r="G235">
        <v>237</v>
      </c>
      <c r="H235">
        <v>3.53</v>
      </c>
      <c r="J235">
        <v>237</v>
      </c>
      <c r="K235">
        <v>3.7</v>
      </c>
      <c r="M235">
        <v>322</v>
      </c>
      <c r="N235">
        <v>4.4400000000000004</v>
      </c>
      <c r="P235">
        <v>323</v>
      </c>
      <c r="Q235">
        <v>3.89</v>
      </c>
    </row>
    <row r="236" spans="4:18" x14ac:dyDescent="0.3">
      <c r="D236">
        <v>238</v>
      </c>
      <c r="E236">
        <v>3.58</v>
      </c>
      <c r="G236">
        <v>238</v>
      </c>
      <c r="H236">
        <v>3.74</v>
      </c>
      <c r="I236">
        <v>4.4999999999999997E-3</v>
      </c>
      <c r="J236">
        <v>238</v>
      </c>
      <c r="K236">
        <v>3.93</v>
      </c>
      <c r="L236">
        <v>3.5000000000000001E-3</v>
      </c>
      <c r="M236">
        <v>323</v>
      </c>
      <c r="N236">
        <v>4.4400000000000004</v>
      </c>
      <c r="P236">
        <v>324</v>
      </c>
      <c r="Q236">
        <v>3.89</v>
      </c>
    </row>
    <row r="237" spans="4:18" x14ac:dyDescent="0.3">
      <c r="D237">
        <v>239</v>
      </c>
      <c r="E237">
        <v>3.58</v>
      </c>
      <c r="G237">
        <v>239</v>
      </c>
      <c r="H237">
        <v>3.74</v>
      </c>
      <c r="J237">
        <v>239</v>
      </c>
      <c r="K237">
        <v>3.93</v>
      </c>
      <c r="M237">
        <v>324</v>
      </c>
      <c r="N237">
        <v>4.4400000000000004</v>
      </c>
      <c r="P237">
        <v>325</v>
      </c>
      <c r="Q237">
        <v>3.89</v>
      </c>
    </row>
    <row r="238" spans="4:18" x14ac:dyDescent="0.3">
      <c r="D238">
        <v>240</v>
      </c>
      <c r="E238">
        <v>3.58</v>
      </c>
      <c r="G238">
        <v>240</v>
      </c>
      <c r="H238">
        <v>3.74</v>
      </c>
      <c r="J238">
        <v>240</v>
      </c>
      <c r="K238">
        <v>3.93</v>
      </c>
      <c r="M238">
        <v>325</v>
      </c>
      <c r="N238">
        <v>4.4400000000000004</v>
      </c>
      <c r="P238">
        <v>326</v>
      </c>
      <c r="Q238">
        <v>3.89</v>
      </c>
    </row>
    <row r="239" spans="4:18" x14ac:dyDescent="0.3">
      <c r="D239">
        <v>241</v>
      </c>
      <c r="E239">
        <v>3.58</v>
      </c>
      <c r="G239">
        <v>241</v>
      </c>
      <c r="H239">
        <v>3.74</v>
      </c>
      <c r="J239">
        <v>241</v>
      </c>
      <c r="K239">
        <v>3.93</v>
      </c>
      <c r="M239">
        <v>326</v>
      </c>
      <c r="N239">
        <v>4.4400000000000004</v>
      </c>
      <c r="P239">
        <v>327</v>
      </c>
      <c r="Q239">
        <v>3.89</v>
      </c>
    </row>
    <row r="240" spans="4:18" x14ac:dyDescent="0.3">
      <c r="D240">
        <v>242</v>
      </c>
      <c r="E240">
        <v>3.58</v>
      </c>
      <c r="G240">
        <v>242</v>
      </c>
      <c r="H240">
        <v>3.74</v>
      </c>
      <c r="J240">
        <v>242</v>
      </c>
      <c r="K240">
        <v>3.93</v>
      </c>
      <c r="M240">
        <v>327</v>
      </c>
      <c r="N240">
        <v>4.4400000000000004</v>
      </c>
      <c r="P240">
        <v>328</v>
      </c>
      <c r="Q240">
        <v>3.89</v>
      </c>
    </row>
    <row r="241" spans="4:18" x14ac:dyDescent="0.3">
      <c r="D241">
        <v>243</v>
      </c>
      <c r="E241">
        <v>3.58</v>
      </c>
      <c r="G241">
        <v>243</v>
      </c>
      <c r="H241">
        <v>3.74</v>
      </c>
      <c r="J241">
        <v>243</v>
      </c>
      <c r="K241">
        <v>3.93</v>
      </c>
      <c r="M241">
        <v>328</v>
      </c>
      <c r="N241">
        <v>4.4400000000000004</v>
      </c>
      <c r="O241">
        <v>0</v>
      </c>
      <c r="P241">
        <v>329</v>
      </c>
      <c r="Q241">
        <v>3.92</v>
      </c>
      <c r="R241">
        <v>2E-3</v>
      </c>
    </row>
    <row r="242" spans="4:18" x14ac:dyDescent="0.3">
      <c r="D242">
        <v>244</v>
      </c>
      <c r="E242">
        <v>3.58</v>
      </c>
      <c r="G242">
        <v>244</v>
      </c>
      <c r="H242">
        <v>3.74</v>
      </c>
      <c r="J242">
        <v>244</v>
      </c>
      <c r="K242">
        <v>3.93</v>
      </c>
      <c r="M242">
        <v>329</v>
      </c>
      <c r="N242">
        <v>4.5599999999999996</v>
      </c>
      <c r="P242">
        <v>330</v>
      </c>
      <c r="Q242">
        <v>3.92</v>
      </c>
    </row>
    <row r="243" spans="4:18" x14ac:dyDescent="0.3">
      <c r="D243">
        <v>245</v>
      </c>
      <c r="E243">
        <v>3.58</v>
      </c>
      <c r="G243">
        <v>245</v>
      </c>
      <c r="H243">
        <v>3.74</v>
      </c>
      <c r="J243">
        <v>245</v>
      </c>
      <c r="K243">
        <v>3.93</v>
      </c>
      <c r="M243">
        <v>330</v>
      </c>
      <c r="N243">
        <v>4.5599999999999996</v>
      </c>
      <c r="P243">
        <v>331</v>
      </c>
      <c r="Q243">
        <v>3.92</v>
      </c>
    </row>
    <row r="244" spans="4:18" x14ac:dyDescent="0.3">
      <c r="D244">
        <v>246</v>
      </c>
      <c r="E244">
        <v>3.58</v>
      </c>
      <c r="G244">
        <v>246</v>
      </c>
      <c r="H244">
        <v>3.74</v>
      </c>
      <c r="J244">
        <v>246</v>
      </c>
      <c r="K244">
        <v>3.93</v>
      </c>
      <c r="M244">
        <v>331</v>
      </c>
      <c r="N244">
        <v>4.5599999999999996</v>
      </c>
      <c r="P244">
        <v>332</v>
      </c>
      <c r="Q244">
        <v>3.92</v>
      </c>
    </row>
    <row r="245" spans="4:18" x14ac:dyDescent="0.3">
      <c r="D245">
        <v>247</v>
      </c>
      <c r="E245">
        <v>3.58</v>
      </c>
      <c r="G245">
        <v>247</v>
      </c>
      <c r="H245">
        <v>3.74</v>
      </c>
      <c r="J245">
        <v>247</v>
      </c>
      <c r="K245">
        <v>3.93</v>
      </c>
      <c r="M245">
        <v>332</v>
      </c>
      <c r="N245">
        <v>4.5599999999999996</v>
      </c>
      <c r="P245">
        <v>333</v>
      </c>
      <c r="Q245">
        <v>3.92</v>
      </c>
    </row>
    <row r="246" spans="4:18" x14ac:dyDescent="0.3">
      <c r="D246">
        <v>248</v>
      </c>
      <c r="E246">
        <v>3.58</v>
      </c>
      <c r="G246">
        <v>248</v>
      </c>
      <c r="H246">
        <v>3.74</v>
      </c>
      <c r="J246">
        <v>248</v>
      </c>
      <c r="K246">
        <v>3.93</v>
      </c>
      <c r="M246">
        <v>333</v>
      </c>
      <c r="N246">
        <v>4.5599999999999996</v>
      </c>
      <c r="P246">
        <v>334</v>
      </c>
      <c r="Q246">
        <v>3.92</v>
      </c>
    </row>
    <row r="247" spans="4:18" x14ac:dyDescent="0.3">
      <c r="D247">
        <v>249</v>
      </c>
      <c r="E247">
        <v>3.58</v>
      </c>
      <c r="G247">
        <v>249</v>
      </c>
      <c r="H247">
        <v>3.74</v>
      </c>
      <c r="J247">
        <v>249</v>
      </c>
      <c r="K247">
        <v>3.93</v>
      </c>
      <c r="M247">
        <v>334</v>
      </c>
      <c r="N247">
        <v>4.5599999999999996</v>
      </c>
      <c r="P247">
        <v>335</v>
      </c>
      <c r="Q247">
        <v>3.92</v>
      </c>
    </row>
    <row r="248" spans="4:18" x14ac:dyDescent="0.3">
      <c r="D248">
        <v>250</v>
      </c>
      <c r="E248">
        <v>3.58</v>
      </c>
      <c r="G248">
        <v>250</v>
      </c>
      <c r="H248">
        <v>3.74</v>
      </c>
      <c r="J248">
        <v>250</v>
      </c>
      <c r="K248">
        <v>3.93</v>
      </c>
      <c r="M248">
        <v>335</v>
      </c>
      <c r="N248">
        <v>4.5599999999999996</v>
      </c>
      <c r="P248">
        <v>336</v>
      </c>
      <c r="Q248">
        <v>3.92</v>
      </c>
    </row>
    <row r="249" spans="4:18" x14ac:dyDescent="0.3">
      <c r="D249">
        <v>251</v>
      </c>
      <c r="E249">
        <v>3.58</v>
      </c>
      <c r="G249">
        <v>251</v>
      </c>
      <c r="H249">
        <v>3.74</v>
      </c>
      <c r="J249">
        <v>251</v>
      </c>
      <c r="K249">
        <v>3.93</v>
      </c>
      <c r="M249">
        <v>336</v>
      </c>
      <c r="N249">
        <v>4.5599999999999996</v>
      </c>
      <c r="P249">
        <v>337</v>
      </c>
      <c r="Q249">
        <v>3.92</v>
      </c>
    </row>
    <row r="250" spans="4:18" x14ac:dyDescent="0.3">
      <c r="D250">
        <v>252</v>
      </c>
      <c r="E250">
        <v>3.58</v>
      </c>
      <c r="G250">
        <v>252</v>
      </c>
      <c r="H250">
        <v>3.74</v>
      </c>
      <c r="J250">
        <v>252</v>
      </c>
      <c r="K250">
        <v>3.93</v>
      </c>
      <c r="M250">
        <v>337</v>
      </c>
      <c r="N250">
        <v>4.5599999999999996</v>
      </c>
      <c r="P250">
        <v>338</v>
      </c>
      <c r="Q250">
        <v>3.94</v>
      </c>
      <c r="R250">
        <v>0</v>
      </c>
    </row>
    <row r="251" spans="4:18" x14ac:dyDescent="0.3">
      <c r="D251">
        <v>253</v>
      </c>
      <c r="E251">
        <v>3.58</v>
      </c>
      <c r="G251">
        <v>253</v>
      </c>
      <c r="H251">
        <v>3.74</v>
      </c>
      <c r="J251">
        <v>253</v>
      </c>
      <c r="K251">
        <v>3.93</v>
      </c>
      <c r="M251">
        <v>338</v>
      </c>
      <c r="N251">
        <v>4.5599999999999996</v>
      </c>
      <c r="P251">
        <v>339</v>
      </c>
      <c r="Q251">
        <v>3.94</v>
      </c>
    </row>
    <row r="252" spans="4:18" x14ac:dyDescent="0.3">
      <c r="D252">
        <v>254</v>
      </c>
      <c r="E252">
        <v>3.58</v>
      </c>
      <c r="G252">
        <v>254</v>
      </c>
      <c r="H252">
        <v>3.74</v>
      </c>
      <c r="J252">
        <v>254</v>
      </c>
      <c r="K252">
        <v>3.93</v>
      </c>
      <c r="M252">
        <v>339</v>
      </c>
      <c r="N252">
        <v>4.5599999999999996</v>
      </c>
      <c r="P252">
        <v>340</v>
      </c>
      <c r="Q252">
        <v>3.94</v>
      </c>
    </row>
    <row r="253" spans="4:18" x14ac:dyDescent="0.3">
      <c r="D253">
        <v>255</v>
      </c>
      <c r="E253">
        <v>3.58</v>
      </c>
      <c r="G253">
        <v>255</v>
      </c>
      <c r="H253">
        <v>3.74</v>
      </c>
      <c r="J253">
        <v>255</v>
      </c>
      <c r="K253">
        <v>3.93</v>
      </c>
      <c r="M253">
        <v>340</v>
      </c>
      <c r="N253">
        <v>4.5599999999999996</v>
      </c>
      <c r="P253">
        <v>341</v>
      </c>
      <c r="Q253">
        <v>3.94</v>
      </c>
    </row>
    <row r="254" spans="4:18" x14ac:dyDescent="0.3">
      <c r="D254">
        <v>256</v>
      </c>
      <c r="E254">
        <v>3.69</v>
      </c>
      <c r="G254">
        <v>256</v>
      </c>
      <c r="H254">
        <v>3.83</v>
      </c>
      <c r="I254">
        <v>3.5000000000000001E-3</v>
      </c>
      <c r="J254">
        <v>256</v>
      </c>
      <c r="K254">
        <v>4</v>
      </c>
      <c r="L254">
        <v>2E-3</v>
      </c>
      <c r="M254">
        <v>341</v>
      </c>
      <c r="N254">
        <v>4.5599999999999996</v>
      </c>
      <c r="P254">
        <v>342</v>
      </c>
      <c r="Q254">
        <v>3.94</v>
      </c>
    </row>
    <row r="255" spans="4:18" x14ac:dyDescent="0.3">
      <c r="D255">
        <v>257</v>
      </c>
      <c r="E255">
        <v>3.69</v>
      </c>
      <c r="G255">
        <v>257</v>
      </c>
      <c r="H255">
        <v>3.83</v>
      </c>
      <c r="J255">
        <v>257</v>
      </c>
      <c r="K255">
        <v>4</v>
      </c>
      <c r="M255">
        <v>342</v>
      </c>
      <c r="N255">
        <v>4.5599999999999996</v>
      </c>
      <c r="P255">
        <v>343</v>
      </c>
      <c r="Q255">
        <v>3.94</v>
      </c>
    </row>
    <row r="256" spans="4:18" x14ac:dyDescent="0.3">
      <c r="D256">
        <v>258</v>
      </c>
      <c r="E256">
        <v>3.69</v>
      </c>
      <c r="G256">
        <v>258</v>
      </c>
      <c r="H256">
        <v>3.83</v>
      </c>
      <c r="J256">
        <v>258</v>
      </c>
      <c r="K256">
        <v>4</v>
      </c>
      <c r="M256">
        <v>343</v>
      </c>
      <c r="N256">
        <v>4.5599999999999996</v>
      </c>
      <c r="P256">
        <v>344</v>
      </c>
      <c r="Q256">
        <v>3.94</v>
      </c>
    </row>
    <row r="257" spans="4:18" x14ac:dyDescent="0.3">
      <c r="D257">
        <v>259</v>
      </c>
      <c r="E257">
        <v>3.69</v>
      </c>
      <c r="G257">
        <v>259</v>
      </c>
      <c r="H257">
        <v>3.83</v>
      </c>
      <c r="J257">
        <v>259</v>
      </c>
      <c r="K257">
        <v>4</v>
      </c>
      <c r="M257">
        <v>344</v>
      </c>
      <c r="N257">
        <v>4.5599999999999996</v>
      </c>
      <c r="P257">
        <v>345</v>
      </c>
      <c r="Q257">
        <v>3.94</v>
      </c>
    </row>
    <row r="258" spans="4:18" x14ac:dyDescent="0.3">
      <c r="D258">
        <v>260</v>
      </c>
      <c r="E258">
        <v>3.69</v>
      </c>
      <c r="G258">
        <v>260</v>
      </c>
      <c r="H258">
        <v>3.83</v>
      </c>
      <c r="J258">
        <v>260</v>
      </c>
      <c r="K258">
        <v>4</v>
      </c>
      <c r="M258">
        <v>345</v>
      </c>
      <c r="N258">
        <v>4.5599999999999996</v>
      </c>
      <c r="P258">
        <v>346</v>
      </c>
      <c r="Q258">
        <v>3.94</v>
      </c>
    </row>
    <row r="259" spans="4:18" x14ac:dyDescent="0.3">
      <c r="D259">
        <v>261</v>
      </c>
      <c r="E259">
        <v>3.69</v>
      </c>
      <c r="G259">
        <v>261</v>
      </c>
      <c r="H259">
        <v>3.83</v>
      </c>
      <c r="J259">
        <v>261</v>
      </c>
      <c r="K259">
        <v>4</v>
      </c>
      <c r="M259">
        <v>346</v>
      </c>
      <c r="N259">
        <v>4.5599999999999996</v>
      </c>
      <c r="P259">
        <v>347</v>
      </c>
      <c r="Q259">
        <v>3.94</v>
      </c>
    </row>
    <row r="260" spans="4:18" x14ac:dyDescent="0.3">
      <c r="D260">
        <v>262</v>
      </c>
      <c r="E260">
        <v>3.69</v>
      </c>
      <c r="G260">
        <v>262</v>
      </c>
      <c r="H260">
        <v>3.83</v>
      </c>
      <c r="J260">
        <v>262</v>
      </c>
      <c r="K260">
        <v>4</v>
      </c>
      <c r="M260">
        <v>347</v>
      </c>
      <c r="N260">
        <v>4.5599999999999996</v>
      </c>
      <c r="P260">
        <v>348</v>
      </c>
      <c r="Q260">
        <v>3.94</v>
      </c>
    </row>
    <row r="261" spans="4:18" x14ac:dyDescent="0.3">
      <c r="D261">
        <v>263</v>
      </c>
      <c r="E261">
        <v>3.69</v>
      </c>
      <c r="G261">
        <v>263</v>
      </c>
      <c r="H261">
        <v>3.83</v>
      </c>
      <c r="J261">
        <v>263</v>
      </c>
      <c r="K261">
        <v>4</v>
      </c>
      <c r="M261">
        <v>348</v>
      </c>
      <c r="N261">
        <v>4.5599999999999996</v>
      </c>
      <c r="P261">
        <v>349</v>
      </c>
      <c r="Q261">
        <v>3.94</v>
      </c>
    </row>
    <row r="262" spans="4:18" x14ac:dyDescent="0.3">
      <c r="D262">
        <v>264</v>
      </c>
      <c r="E262">
        <v>3.69</v>
      </c>
      <c r="G262">
        <v>264</v>
      </c>
      <c r="H262">
        <v>3.83</v>
      </c>
      <c r="J262">
        <v>264</v>
      </c>
      <c r="K262">
        <v>4</v>
      </c>
      <c r="M262">
        <v>349</v>
      </c>
      <c r="N262">
        <v>4.5599999999999996</v>
      </c>
      <c r="P262">
        <v>350</v>
      </c>
      <c r="Q262">
        <v>3.94</v>
      </c>
    </row>
    <row r="263" spans="4:18" x14ac:dyDescent="0.3">
      <c r="D263">
        <v>265</v>
      </c>
      <c r="E263">
        <v>3.69</v>
      </c>
      <c r="G263">
        <v>265</v>
      </c>
      <c r="H263">
        <v>3.83</v>
      </c>
      <c r="J263">
        <v>265</v>
      </c>
      <c r="K263">
        <v>4</v>
      </c>
      <c r="M263">
        <v>350</v>
      </c>
      <c r="N263">
        <v>4.5599999999999996</v>
      </c>
      <c r="P263">
        <v>351</v>
      </c>
      <c r="Q263">
        <v>3.94</v>
      </c>
    </row>
    <row r="264" spans="4:18" x14ac:dyDescent="0.3">
      <c r="D264">
        <v>266</v>
      </c>
      <c r="E264">
        <v>3.69</v>
      </c>
      <c r="G264">
        <v>266</v>
      </c>
      <c r="H264">
        <v>3.83</v>
      </c>
      <c r="J264">
        <v>266</v>
      </c>
      <c r="K264">
        <v>4</v>
      </c>
      <c r="M264">
        <v>351</v>
      </c>
      <c r="N264">
        <v>4.5599999999999996</v>
      </c>
      <c r="P264">
        <v>352</v>
      </c>
      <c r="Q264">
        <v>3.94</v>
      </c>
    </row>
    <row r="265" spans="4:18" x14ac:dyDescent="0.3">
      <c r="D265">
        <v>267</v>
      </c>
      <c r="E265">
        <v>3.69</v>
      </c>
      <c r="G265">
        <v>267</v>
      </c>
      <c r="H265">
        <v>3.83</v>
      </c>
      <c r="J265">
        <v>267</v>
      </c>
      <c r="K265">
        <v>4</v>
      </c>
      <c r="M265">
        <v>352</v>
      </c>
      <c r="N265">
        <v>4.5599999999999996</v>
      </c>
      <c r="P265">
        <v>353</v>
      </c>
      <c r="Q265">
        <v>3.94</v>
      </c>
    </row>
    <row r="266" spans="4:18" x14ac:dyDescent="0.3">
      <c r="D266">
        <v>268</v>
      </c>
      <c r="E266">
        <v>3.69</v>
      </c>
      <c r="G266">
        <v>268</v>
      </c>
      <c r="H266">
        <v>3.83</v>
      </c>
      <c r="J266">
        <v>268</v>
      </c>
      <c r="K266">
        <v>4</v>
      </c>
      <c r="M266">
        <v>353</v>
      </c>
      <c r="N266">
        <v>4.5599999999999996</v>
      </c>
      <c r="P266">
        <v>354</v>
      </c>
      <c r="Q266">
        <v>3.94</v>
      </c>
    </row>
    <row r="267" spans="4:18" x14ac:dyDescent="0.3">
      <c r="D267">
        <v>269</v>
      </c>
      <c r="E267">
        <v>3.69</v>
      </c>
      <c r="G267">
        <v>269</v>
      </c>
      <c r="H267">
        <v>3.83</v>
      </c>
      <c r="J267">
        <v>269</v>
      </c>
      <c r="K267">
        <v>4</v>
      </c>
      <c r="M267">
        <v>354</v>
      </c>
      <c r="N267">
        <v>4.5599999999999996</v>
      </c>
      <c r="P267">
        <v>355</v>
      </c>
      <c r="Q267">
        <v>3.94</v>
      </c>
    </row>
    <row r="268" spans="4:18" x14ac:dyDescent="0.3">
      <c r="D268">
        <v>270</v>
      </c>
      <c r="E268">
        <v>3.69</v>
      </c>
      <c r="G268">
        <v>270</v>
      </c>
      <c r="H268">
        <v>3.83</v>
      </c>
      <c r="J268">
        <v>270</v>
      </c>
      <c r="K268">
        <v>4</v>
      </c>
      <c r="M268">
        <v>355</v>
      </c>
      <c r="N268">
        <v>4.5599999999999996</v>
      </c>
      <c r="P268">
        <v>356</v>
      </c>
      <c r="Q268">
        <v>3.94</v>
      </c>
    </row>
    <row r="269" spans="4:18" x14ac:dyDescent="0.3">
      <c r="D269">
        <v>271</v>
      </c>
      <c r="E269">
        <v>3.69</v>
      </c>
      <c r="G269">
        <v>271</v>
      </c>
      <c r="H269">
        <v>3.83</v>
      </c>
      <c r="J269">
        <v>271</v>
      </c>
      <c r="K269">
        <v>4</v>
      </c>
      <c r="M269">
        <v>356</v>
      </c>
      <c r="N269">
        <v>4.5599999999999996</v>
      </c>
      <c r="P269">
        <v>357</v>
      </c>
      <c r="Q269">
        <v>3.9750000000000001</v>
      </c>
      <c r="R269">
        <v>1.5E-3</v>
      </c>
    </row>
    <row r="270" spans="4:18" x14ac:dyDescent="0.3">
      <c r="D270">
        <v>272</v>
      </c>
      <c r="E270">
        <v>3.69</v>
      </c>
      <c r="G270">
        <v>272</v>
      </c>
      <c r="H270">
        <v>3.83</v>
      </c>
      <c r="J270">
        <v>272</v>
      </c>
      <c r="K270">
        <v>4</v>
      </c>
      <c r="M270">
        <v>357</v>
      </c>
      <c r="N270">
        <v>4.5599999999999996</v>
      </c>
      <c r="P270">
        <v>358</v>
      </c>
      <c r="Q270">
        <v>3.9750000000000001</v>
      </c>
    </row>
    <row r="271" spans="4:18" x14ac:dyDescent="0.3">
      <c r="D271">
        <v>273</v>
      </c>
      <c r="E271">
        <v>3.69</v>
      </c>
      <c r="G271">
        <v>273</v>
      </c>
      <c r="H271">
        <v>3.83</v>
      </c>
      <c r="J271">
        <v>273</v>
      </c>
      <c r="K271">
        <v>4</v>
      </c>
      <c r="M271">
        <v>358</v>
      </c>
      <c r="N271">
        <v>4.5599999999999996</v>
      </c>
      <c r="P271">
        <v>359</v>
      </c>
      <c r="Q271">
        <v>3.9750000000000001</v>
      </c>
    </row>
    <row r="272" spans="4:18" x14ac:dyDescent="0.3">
      <c r="D272">
        <v>274</v>
      </c>
      <c r="E272">
        <v>3.78</v>
      </c>
      <c r="G272">
        <v>274</v>
      </c>
      <c r="H272">
        <v>3.9</v>
      </c>
      <c r="I272">
        <v>2.5000000000000001E-3</v>
      </c>
      <c r="J272">
        <v>274</v>
      </c>
      <c r="K272">
        <v>4.04</v>
      </c>
      <c r="L272">
        <v>4.0000000000000001E-3</v>
      </c>
      <c r="M272">
        <v>359</v>
      </c>
      <c r="N272">
        <v>4.5599999999999996</v>
      </c>
      <c r="P272">
        <v>360</v>
      </c>
      <c r="Q272">
        <v>3.9750000000000001</v>
      </c>
    </row>
    <row r="273" spans="4:18" x14ac:dyDescent="0.3">
      <c r="D273">
        <v>275</v>
      </c>
      <c r="E273">
        <v>3.78</v>
      </c>
      <c r="G273">
        <v>275</v>
      </c>
      <c r="H273">
        <v>3.9</v>
      </c>
      <c r="J273">
        <v>275</v>
      </c>
      <c r="K273">
        <v>4.04</v>
      </c>
      <c r="M273">
        <v>360</v>
      </c>
      <c r="N273">
        <v>4.5599999999999996</v>
      </c>
      <c r="P273">
        <v>361</v>
      </c>
      <c r="Q273">
        <v>3.9750000000000001</v>
      </c>
    </row>
    <row r="274" spans="4:18" x14ac:dyDescent="0.3">
      <c r="D274">
        <v>276</v>
      </c>
      <c r="E274">
        <v>3.78</v>
      </c>
      <c r="G274">
        <v>276</v>
      </c>
      <c r="H274">
        <v>3.9</v>
      </c>
      <c r="J274">
        <v>276</v>
      </c>
      <c r="K274">
        <v>4.04</v>
      </c>
      <c r="M274">
        <v>361</v>
      </c>
      <c r="N274">
        <v>4.5599999999999996</v>
      </c>
      <c r="P274">
        <v>362</v>
      </c>
      <c r="Q274">
        <v>3.9750000000000001</v>
      </c>
    </row>
    <row r="275" spans="4:18" x14ac:dyDescent="0.3">
      <c r="D275">
        <v>277</v>
      </c>
      <c r="E275">
        <v>3.78</v>
      </c>
      <c r="G275">
        <v>277</v>
      </c>
      <c r="H275">
        <v>3.9</v>
      </c>
      <c r="J275">
        <v>277</v>
      </c>
      <c r="K275">
        <v>4.04</v>
      </c>
      <c r="M275">
        <v>362</v>
      </c>
      <c r="N275">
        <v>4.5599999999999996</v>
      </c>
      <c r="P275">
        <v>363</v>
      </c>
      <c r="Q275">
        <v>3.9750000000000001</v>
      </c>
    </row>
    <row r="276" spans="4:18" x14ac:dyDescent="0.3">
      <c r="D276">
        <v>278</v>
      </c>
      <c r="E276">
        <v>3.78</v>
      </c>
      <c r="G276">
        <v>278</v>
      </c>
      <c r="H276">
        <v>3.9</v>
      </c>
      <c r="J276">
        <v>278</v>
      </c>
      <c r="K276">
        <v>4.04</v>
      </c>
      <c r="M276">
        <v>363</v>
      </c>
      <c r="N276">
        <v>4.5599999999999996</v>
      </c>
      <c r="P276">
        <v>364</v>
      </c>
      <c r="Q276">
        <v>3.9750000000000001</v>
      </c>
    </row>
    <row r="277" spans="4:18" x14ac:dyDescent="0.3">
      <c r="D277">
        <v>279</v>
      </c>
      <c r="E277">
        <v>3.78</v>
      </c>
      <c r="G277">
        <v>279</v>
      </c>
      <c r="H277">
        <v>3.9</v>
      </c>
      <c r="J277">
        <v>279</v>
      </c>
      <c r="K277">
        <v>4.04</v>
      </c>
      <c r="M277">
        <v>364</v>
      </c>
      <c r="N277">
        <v>4.5599999999999996</v>
      </c>
      <c r="P277">
        <v>365</v>
      </c>
      <c r="Q277">
        <v>3.9750000000000001</v>
      </c>
    </row>
    <row r="278" spans="4:18" x14ac:dyDescent="0.3">
      <c r="D278">
        <v>280</v>
      </c>
      <c r="E278">
        <v>3.78</v>
      </c>
      <c r="G278">
        <v>280</v>
      </c>
      <c r="H278">
        <v>3.9</v>
      </c>
      <c r="J278">
        <v>280</v>
      </c>
      <c r="K278">
        <v>4.04</v>
      </c>
      <c r="M278">
        <v>365</v>
      </c>
      <c r="N278">
        <v>4.5599999999999996</v>
      </c>
      <c r="O278">
        <v>2E-3</v>
      </c>
      <c r="P278">
        <v>366</v>
      </c>
      <c r="Q278">
        <v>3.99</v>
      </c>
      <c r="R278">
        <v>1.5E-3</v>
      </c>
    </row>
    <row r="279" spans="4:18" x14ac:dyDescent="0.3">
      <c r="D279">
        <v>281</v>
      </c>
      <c r="E279">
        <v>3.78</v>
      </c>
      <c r="G279">
        <v>281</v>
      </c>
      <c r="H279">
        <v>3.9</v>
      </c>
      <c r="J279">
        <v>281</v>
      </c>
      <c r="K279">
        <v>4.04</v>
      </c>
      <c r="M279">
        <v>366</v>
      </c>
      <c r="N279">
        <v>4.75</v>
      </c>
      <c r="P279">
        <v>367</v>
      </c>
      <c r="Q279">
        <v>3.99</v>
      </c>
    </row>
    <row r="280" spans="4:18" x14ac:dyDescent="0.3">
      <c r="D280">
        <v>282</v>
      </c>
      <c r="E280">
        <v>3.78</v>
      </c>
      <c r="G280">
        <v>282</v>
      </c>
      <c r="H280">
        <v>3.9</v>
      </c>
      <c r="J280">
        <v>282</v>
      </c>
      <c r="K280">
        <v>4.04</v>
      </c>
      <c r="M280">
        <v>367</v>
      </c>
      <c r="N280">
        <v>4.75</v>
      </c>
      <c r="P280">
        <v>368</v>
      </c>
      <c r="Q280">
        <v>3.99</v>
      </c>
    </row>
    <row r="281" spans="4:18" x14ac:dyDescent="0.3">
      <c r="D281">
        <v>283</v>
      </c>
      <c r="E281">
        <v>3.78</v>
      </c>
      <c r="G281">
        <v>283</v>
      </c>
      <c r="H281">
        <v>3.9</v>
      </c>
      <c r="J281">
        <v>283</v>
      </c>
      <c r="K281">
        <v>4.04</v>
      </c>
      <c r="M281">
        <v>368</v>
      </c>
      <c r="N281">
        <v>4.75</v>
      </c>
      <c r="P281">
        <v>369</v>
      </c>
      <c r="Q281">
        <v>3.99</v>
      </c>
    </row>
    <row r="282" spans="4:18" x14ac:dyDescent="0.3">
      <c r="D282">
        <v>284</v>
      </c>
      <c r="E282">
        <v>3.78</v>
      </c>
      <c r="G282">
        <v>284</v>
      </c>
      <c r="H282">
        <v>3.9</v>
      </c>
      <c r="J282">
        <v>284</v>
      </c>
      <c r="K282">
        <v>4.04</v>
      </c>
      <c r="M282">
        <v>369</v>
      </c>
      <c r="N282">
        <v>4.75</v>
      </c>
      <c r="P282">
        <v>370</v>
      </c>
      <c r="Q282">
        <v>3.99</v>
      </c>
    </row>
    <row r="283" spans="4:18" x14ac:dyDescent="0.3">
      <c r="D283">
        <v>285</v>
      </c>
      <c r="E283">
        <v>3.78</v>
      </c>
      <c r="G283">
        <v>285</v>
      </c>
      <c r="H283">
        <v>3.9</v>
      </c>
      <c r="J283">
        <v>285</v>
      </c>
      <c r="K283">
        <v>4.04</v>
      </c>
      <c r="M283">
        <v>370</v>
      </c>
      <c r="N283">
        <v>4.75</v>
      </c>
      <c r="P283">
        <v>371</v>
      </c>
      <c r="Q283">
        <v>3.99</v>
      </c>
    </row>
    <row r="284" spans="4:18" x14ac:dyDescent="0.3">
      <c r="D284">
        <v>286</v>
      </c>
      <c r="E284">
        <v>3.78</v>
      </c>
      <c r="G284">
        <v>286</v>
      </c>
      <c r="H284">
        <v>3.9</v>
      </c>
      <c r="J284">
        <v>286</v>
      </c>
      <c r="K284">
        <v>4.04</v>
      </c>
      <c r="M284">
        <v>371</v>
      </c>
      <c r="N284">
        <v>4.75</v>
      </c>
      <c r="P284">
        <v>372</v>
      </c>
      <c r="Q284">
        <v>3.99</v>
      </c>
    </row>
    <row r="285" spans="4:18" x14ac:dyDescent="0.3">
      <c r="D285">
        <v>287</v>
      </c>
      <c r="E285">
        <v>3.78</v>
      </c>
      <c r="G285">
        <v>287</v>
      </c>
      <c r="H285">
        <v>3.9</v>
      </c>
      <c r="J285">
        <v>287</v>
      </c>
      <c r="K285">
        <v>4.04</v>
      </c>
      <c r="M285">
        <v>372</v>
      </c>
      <c r="N285">
        <v>4.75</v>
      </c>
      <c r="P285">
        <v>373</v>
      </c>
      <c r="Q285">
        <v>3.99</v>
      </c>
    </row>
    <row r="286" spans="4:18" x14ac:dyDescent="0.3">
      <c r="D286">
        <v>288</v>
      </c>
      <c r="E286">
        <v>3.78</v>
      </c>
      <c r="G286">
        <v>288</v>
      </c>
      <c r="H286">
        <v>3.9</v>
      </c>
      <c r="J286">
        <v>288</v>
      </c>
      <c r="K286">
        <v>4.04</v>
      </c>
      <c r="M286">
        <v>373</v>
      </c>
      <c r="N286">
        <v>4.75</v>
      </c>
      <c r="P286">
        <v>374</v>
      </c>
      <c r="Q286">
        <v>3.99</v>
      </c>
    </row>
    <row r="287" spans="4:18" x14ac:dyDescent="0.3">
      <c r="D287">
        <v>289</v>
      </c>
      <c r="E287">
        <v>3.78</v>
      </c>
      <c r="G287">
        <v>289</v>
      </c>
      <c r="H287">
        <v>3.9</v>
      </c>
      <c r="J287">
        <v>289</v>
      </c>
      <c r="K287">
        <v>4.04</v>
      </c>
      <c r="M287">
        <v>374</v>
      </c>
      <c r="N287">
        <v>4.75</v>
      </c>
      <c r="P287">
        <v>375</v>
      </c>
      <c r="Q287">
        <v>4.0049999999999999</v>
      </c>
      <c r="R287">
        <v>1.5E-3</v>
      </c>
    </row>
    <row r="288" spans="4:18" x14ac:dyDescent="0.3">
      <c r="D288">
        <v>290</v>
      </c>
      <c r="E288">
        <v>3.78</v>
      </c>
      <c r="G288">
        <v>290</v>
      </c>
      <c r="H288">
        <v>3.9</v>
      </c>
      <c r="J288">
        <v>290</v>
      </c>
      <c r="K288">
        <v>4.04</v>
      </c>
      <c r="M288">
        <v>375</v>
      </c>
      <c r="N288">
        <v>4.75</v>
      </c>
      <c r="P288">
        <v>376</v>
      </c>
      <c r="Q288">
        <v>4.0049999999999999</v>
      </c>
    </row>
    <row r="289" spans="4:18" x14ac:dyDescent="0.3">
      <c r="D289">
        <v>291</v>
      </c>
      <c r="E289">
        <v>3.78</v>
      </c>
      <c r="G289">
        <v>291</v>
      </c>
      <c r="H289">
        <v>3.9</v>
      </c>
      <c r="J289">
        <v>291</v>
      </c>
      <c r="K289">
        <v>4.04</v>
      </c>
      <c r="M289">
        <v>376</v>
      </c>
      <c r="N289">
        <v>4.75</v>
      </c>
      <c r="P289">
        <v>377</v>
      </c>
      <c r="Q289">
        <v>4.0049999999999999</v>
      </c>
    </row>
    <row r="290" spans="4:18" x14ac:dyDescent="0.3">
      <c r="D290">
        <v>292</v>
      </c>
      <c r="E290">
        <v>3.78</v>
      </c>
      <c r="G290">
        <v>292</v>
      </c>
      <c r="H290">
        <v>3.9</v>
      </c>
      <c r="J290">
        <v>292</v>
      </c>
      <c r="K290">
        <v>4.04</v>
      </c>
      <c r="M290">
        <v>377</v>
      </c>
      <c r="N290">
        <v>4.75</v>
      </c>
      <c r="P290">
        <v>378</v>
      </c>
      <c r="Q290">
        <v>4.0049999999999999</v>
      </c>
    </row>
    <row r="291" spans="4:18" x14ac:dyDescent="0.3">
      <c r="D291">
        <v>293</v>
      </c>
      <c r="E291">
        <v>3.84</v>
      </c>
      <c r="G291">
        <v>293</v>
      </c>
      <c r="H291">
        <v>3.95</v>
      </c>
      <c r="I291">
        <v>3.5000000000000001E-3</v>
      </c>
      <c r="J291">
        <v>293</v>
      </c>
      <c r="K291">
        <v>4.12</v>
      </c>
      <c r="L291">
        <v>7.0000000000000001E-3</v>
      </c>
      <c r="M291">
        <v>378</v>
      </c>
      <c r="N291">
        <v>4.75</v>
      </c>
      <c r="P291">
        <v>379</v>
      </c>
      <c r="Q291">
        <v>4.0049999999999999</v>
      </c>
    </row>
    <row r="292" spans="4:18" x14ac:dyDescent="0.3">
      <c r="D292">
        <v>294</v>
      </c>
      <c r="E292">
        <v>3.84</v>
      </c>
      <c r="G292">
        <v>294</v>
      </c>
      <c r="H292">
        <v>3.95</v>
      </c>
      <c r="J292">
        <v>294</v>
      </c>
      <c r="K292">
        <v>4.12</v>
      </c>
      <c r="M292">
        <v>379</v>
      </c>
      <c r="N292">
        <v>4.75</v>
      </c>
      <c r="P292">
        <v>380</v>
      </c>
      <c r="Q292">
        <v>4.0049999999999999</v>
      </c>
    </row>
    <row r="293" spans="4:18" x14ac:dyDescent="0.3">
      <c r="D293">
        <v>295</v>
      </c>
      <c r="E293">
        <v>3.84</v>
      </c>
      <c r="G293">
        <v>295</v>
      </c>
      <c r="H293">
        <v>3.95</v>
      </c>
      <c r="J293">
        <v>295</v>
      </c>
      <c r="K293">
        <v>4.12</v>
      </c>
      <c r="M293">
        <v>380</v>
      </c>
      <c r="N293">
        <v>4.75</v>
      </c>
      <c r="P293">
        <v>381</v>
      </c>
      <c r="Q293">
        <v>4.0049999999999999</v>
      </c>
    </row>
    <row r="294" spans="4:18" x14ac:dyDescent="0.3">
      <c r="D294">
        <v>296</v>
      </c>
      <c r="E294">
        <v>3.84</v>
      </c>
      <c r="G294">
        <v>296</v>
      </c>
      <c r="H294">
        <v>3.95</v>
      </c>
      <c r="J294">
        <v>296</v>
      </c>
      <c r="K294">
        <v>4.12</v>
      </c>
      <c r="M294">
        <v>381</v>
      </c>
      <c r="N294">
        <v>4.75</v>
      </c>
      <c r="P294">
        <v>382</v>
      </c>
      <c r="Q294">
        <v>4.0049999999999999</v>
      </c>
    </row>
    <row r="295" spans="4:18" x14ac:dyDescent="0.3">
      <c r="D295">
        <v>297</v>
      </c>
      <c r="E295">
        <v>3.84</v>
      </c>
      <c r="G295">
        <v>297</v>
      </c>
      <c r="H295">
        <v>3.95</v>
      </c>
      <c r="J295">
        <v>297</v>
      </c>
      <c r="K295">
        <v>4.12</v>
      </c>
      <c r="M295">
        <v>382</v>
      </c>
      <c r="N295">
        <v>4.75</v>
      </c>
      <c r="P295">
        <v>383</v>
      </c>
      <c r="Q295">
        <v>4.0049999999999999</v>
      </c>
    </row>
    <row r="296" spans="4:18" x14ac:dyDescent="0.3">
      <c r="D296">
        <v>298</v>
      </c>
      <c r="E296">
        <v>3.84</v>
      </c>
      <c r="G296">
        <v>298</v>
      </c>
      <c r="H296">
        <v>3.95</v>
      </c>
      <c r="J296">
        <v>298</v>
      </c>
      <c r="K296">
        <v>4.12</v>
      </c>
      <c r="M296">
        <v>383</v>
      </c>
      <c r="N296">
        <v>4.75</v>
      </c>
      <c r="O296">
        <v>2.5000000000000001E-3</v>
      </c>
      <c r="P296">
        <v>384</v>
      </c>
      <c r="Q296">
        <v>4.0199999999999996</v>
      </c>
      <c r="R296">
        <v>3.5500000000000002E-3</v>
      </c>
    </row>
    <row r="297" spans="4:18" x14ac:dyDescent="0.3">
      <c r="D297">
        <v>299</v>
      </c>
      <c r="E297">
        <v>3.84</v>
      </c>
      <c r="G297">
        <v>299</v>
      </c>
      <c r="H297">
        <v>3.95</v>
      </c>
      <c r="J297">
        <v>299</v>
      </c>
      <c r="K297">
        <v>4.12</v>
      </c>
      <c r="M297">
        <v>384</v>
      </c>
      <c r="N297">
        <v>4.79</v>
      </c>
      <c r="P297">
        <v>385</v>
      </c>
      <c r="Q297">
        <v>4.0199999999999996</v>
      </c>
    </row>
    <row r="298" spans="4:18" x14ac:dyDescent="0.3">
      <c r="D298">
        <v>300</v>
      </c>
      <c r="E298">
        <v>3.84</v>
      </c>
      <c r="G298">
        <v>300</v>
      </c>
      <c r="H298">
        <v>3.95</v>
      </c>
      <c r="J298">
        <v>300</v>
      </c>
      <c r="K298">
        <v>4.12</v>
      </c>
      <c r="M298">
        <v>385</v>
      </c>
      <c r="N298">
        <v>4.79</v>
      </c>
      <c r="P298">
        <v>386</v>
      </c>
      <c r="Q298">
        <v>4.0199999999999996</v>
      </c>
    </row>
    <row r="299" spans="4:18" x14ac:dyDescent="0.3">
      <c r="D299">
        <v>301</v>
      </c>
      <c r="E299">
        <v>3.84</v>
      </c>
      <c r="G299">
        <v>301</v>
      </c>
      <c r="H299">
        <v>3.95</v>
      </c>
      <c r="J299">
        <v>301</v>
      </c>
      <c r="K299">
        <v>4.12</v>
      </c>
      <c r="M299">
        <v>386</v>
      </c>
      <c r="N299">
        <v>4.79</v>
      </c>
      <c r="P299">
        <v>387</v>
      </c>
      <c r="Q299">
        <v>4.0199999999999996</v>
      </c>
    </row>
    <row r="300" spans="4:18" x14ac:dyDescent="0.3">
      <c r="D300">
        <v>302</v>
      </c>
      <c r="E300">
        <v>3.84</v>
      </c>
      <c r="G300">
        <v>302</v>
      </c>
      <c r="H300">
        <v>3.95</v>
      </c>
      <c r="J300">
        <v>302</v>
      </c>
      <c r="K300">
        <v>4.12</v>
      </c>
      <c r="M300">
        <v>387</v>
      </c>
      <c r="N300">
        <v>4.79</v>
      </c>
      <c r="P300">
        <v>388</v>
      </c>
      <c r="Q300">
        <v>4.0199999999999996</v>
      </c>
    </row>
    <row r="301" spans="4:18" x14ac:dyDescent="0.3">
      <c r="D301">
        <v>303</v>
      </c>
      <c r="E301">
        <v>3.84</v>
      </c>
      <c r="G301">
        <v>303</v>
      </c>
      <c r="H301">
        <v>3.95</v>
      </c>
      <c r="J301">
        <v>303</v>
      </c>
      <c r="K301">
        <v>4.12</v>
      </c>
      <c r="M301">
        <v>388</v>
      </c>
      <c r="N301">
        <v>4.79</v>
      </c>
      <c r="P301">
        <v>389</v>
      </c>
      <c r="Q301">
        <v>4.0199999999999996</v>
      </c>
    </row>
    <row r="302" spans="4:18" x14ac:dyDescent="0.3">
      <c r="D302">
        <v>304</v>
      </c>
      <c r="E302">
        <v>3.84</v>
      </c>
      <c r="G302">
        <v>304</v>
      </c>
      <c r="H302">
        <v>3.95</v>
      </c>
      <c r="J302">
        <v>304</v>
      </c>
      <c r="K302">
        <v>4.12</v>
      </c>
      <c r="M302">
        <v>389</v>
      </c>
      <c r="N302">
        <v>4.79</v>
      </c>
      <c r="P302">
        <v>390</v>
      </c>
      <c r="Q302">
        <v>4.0199999999999996</v>
      </c>
    </row>
    <row r="303" spans="4:18" x14ac:dyDescent="0.3">
      <c r="D303">
        <v>305</v>
      </c>
      <c r="E303">
        <v>3.84</v>
      </c>
      <c r="G303">
        <v>305</v>
      </c>
      <c r="H303">
        <v>3.95</v>
      </c>
      <c r="J303">
        <v>305</v>
      </c>
      <c r="K303">
        <v>4.12</v>
      </c>
      <c r="M303">
        <v>390</v>
      </c>
      <c r="N303">
        <v>4.79</v>
      </c>
      <c r="P303">
        <v>391</v>
      </c>
      <c r="Q303">
        <v>4.0199999999999996</v>
      </c>
    </row>
    <row r="304" spans="4:18" x14ac:dyDescent="0.3">
      <c r="D304">
        <v>306</v>
      </c>
      <c r="E304">
        <v>3.84</v>
      </c>
      <c r="G304">
        <v>306</v>
      </c>
      <c r="H304">
        <v>3.95</v>
      </c>
      <c r="J304">
        <v>306</v>
      </c>
      <c r="K304">
        <v>4.12</v>
      </c>
      <c r="M304">
        <v>391</v>
      </c>
      <c r="N304">
        <v>4.79</v>
      </c>
      <c r="P304">
        <v>392</v>
      </c>
      <c r="Q304">
        <v>4.0199999999999996</v>
      </c>
    </row>
    <row r="305" spans="4:18" x14ac:dyDescent="0.3">
      <c r="D305">
        <v>307</v>
      </c>
      <c r="E305">
        <v>3.84</v>
      </c>
      <c r="G305">
        <v>307</v>
      </c>
      <c r="H305">
        <v>3.95</v>
      </c>
      <c r="J305">
        <v>307</v>
      </c>
      <c r="K305">
        <v>4.12</v>
      </c>
      <c r="M305">
        <v>392</v>
      </c>
      <c r="N305">
        <v>4.79</v>
      </c>
      <c r="P305">
        <v>393</v>
      </c>
      <c r="Q305">
        <v>4.05</v>
      </c>
      <c r="R305">
        <v>3.0000000000000001E-3</v>
      </c>
    </row>
    <row r="306" spans="4:18" x14ac:dyDescent="0.3">
      <c r="D306">
        <v>308</v>
      </c>
      <c r="E306">
        <v>3.84</v>
      </c>
      <c r="G306">
        <v>308</v>
      </c>
      <c r="H306">
        <v>3.95</v>
      </c>
      <c r="J306">
        <v>308</v>
      </c>
      <c r="K306">
        <v>4.12</v>
      </c>
      <c r="M306">
        <v>393</v>
      </c>
      <c r="N306">
        <v>4.79</v>
      </c>
      <c r="P306">
        <v>394</v>
      </c>
      <c r="Q306">
        <v>4.0555000000000003</v>
      </c>
    </row>
    <row r="307" spans="4:18" x14ac:dyDescent="0.3">
      <c r="D307">
        <v>309</v>
      </c>
      <c r="E307">
        <v>3.84</v>
      </c>
      <c r="G307">
        <v>309</v>
      </c>
      <c r="H307">
        <v>3.95</v>
      </c>
      <c r="J307">
        <v>309</v>
      </c>
      <c r="K307">
        <v>4.12</v>
      </c>
      <c r="M307">
        <v>394</v>
      </c>
      <c r="N307">
        <v>4.79</v>
      </c>
      <c r="P307">
        <v>395</v>
      </c>
      <c r="Q307">
        <v>4.0609999999999999</v>
      </c>
    </row>
    <row r="308" spans="4:18" x14ac:dyDescent="0.3">
      <c r="D308">
        <v>310</v>
      </c>
      <c r="E308">
        <v>3.84</v>
      </c>
      <c r="G308">
        <v>310</v>
      </c>
      <c r="H308">
        <v>3.95</v>
      </c>
      <c r="J308">
        <v>310</v>
      </c>
      <c r="K308">
        <v>4.12</v>
      </c>
      <c r="M308">
        <v>395</v>
      </c>
      <c r="N308">
        <v>4.79</v>
      </c>
      <c r="P308">
        <v>396</v>
      </c>
      <c r="Q308">
        <v>4.0664999999999996</v>
      </c>
    </row>
    <row r="309" spans="4:18" x14ac:dyDescent="0.3">
      <c r="D309">
        <v>311</v>
      </c>
      <c r="E309">
        <v>3.88</v>
      </c>
      <c r="G309">
        <v>311</v>
      </c>
      <c r="H309">
        <v>4.0199999999999996</v>
      </c>
      <c r="I309">
        <v>4.4999999999999997E-3</v>
      </c>
      <c r="J309">
        <v>311</v>
      </c>
      <c r="K309">
        <v>4.26</v>
      </c>
      <c r="L309">
        <v>7.4999999999999997E-3</v>
      </c>
      <c r="M309">
        <v>396</v>
      </c>
      <c r="N309">
        <v>4.79</v>
      </c>
      <c r="P309">
        <v>397</v>
      </c>
      <c r="Q309">
        <v>4.0720000000000001</v>
      </c>
    </row>
    <row r="310" spans="4:18" x14ac:dyDescent="0.3">
      <c r="D310">
        <v>312</v>
      </c>
      <c r="E310">
        <v>3.88</v>
      </c>
      <c r="G310">
        <v>312</v>
      </c>
      <c r="H310">
        <v>4.0199999999999996</v>
      </c>
      <c r="J310">
        <v>312</v>
      </c>
      <c r="K310">
        <v>4.26</v>
      </c>
      <c r="M310">
        <v>397</v>
      </c>
      <c r="N310">
        <v>4.79</v>
      </c>
      <c r="P310">
        <v>398</v>
      </c>
      <c r="Q310">
        <v>4.0774999999999997</v>
      </c>
    </row>
    <row r="311" spans="4:18" x14ac:dyDescent="0.3">
      <c r="D311">
        <v>313</v>
      </c>
      <c r="E311">
        <v>3.88</v>
      </c>
      <c r="G311">
        <v>313</v>
      </c>
      <c r="H311">
        <v>4.0199999999999996</v>
      </c>
      <c r="J311">
        <v>313</v>
      </c>
      <c r="K311">
        <v>4.26</v>
      </c>
      <c r="M311">
        <v>398</v>
      </c>
      <c r="N311">
        <v>4.79</v>
      </c>
      <c r="P311">
        <v>399</v>
      </c>
      <c r="Q311">
        <v>4.0830000000000002</v>
      </c>
    </row>
    <row r="312" spans="4:18" x14ac:dyDescent="0.3">
      <c r="D312">
        <v>314</v>
      </c>
      <c r="E312">
        <v>3.88</v>
      </c>
      <c r="G312">
        <v>314</v>
      </c>
      <c r="H312">
        <v>4.0199999999999996</v>
      </c>
      <c r="J312">
        <v>314</v>
      </c>
      <c r="K312">
        <v>4.26</v>
      </c>
      <c r="M312">
        <v>399</v>
      </c>
      <c r="N312">
        <v>4.79</v>
      </c>
      <c r="P312">
        <v>400</v>
      </c>
      <c r="Q312">
        <v>4.0884999999999998</v>
      </c>
    </row>
    <row r="313" spans="4:18" x14ac:dyDescent="0.3">
      <c r="D313">
        <v>315</v>
      </c>
      <c r="E313">
        <v>3.88</v>
      </c>
      <c r="G313">
        <v>315</v>
      </c>
      <c r="H313">
        <v>4.0199999999999996</v>
      </c>
      <c r="J313">
        <v>315</v>
      </c>
      <c r="K313">
        <v>4.26</v>
      </c>
      <c r="M313">
        <v>400</v>
      </c>
      <c r="N313">
        <v>4.79</v>
      </c>
      <c r="P313">
        <v>401</v>
      </c>
      <c r="Q313">
        <v>4.0940000000000003</v>
      </c>
    </row>
    <row r="314" spans="4:18" x14ac:dyDescent="0.3">
      <c r="D314">
        <v>316</v>
      </c>
      <c r="E314">
        <v>3.88</v>
      </c>
      <c r="G314">
        <v>316</v>
      </c>
      <c r="H314">
        <v>4.0199999999999996</v>
      </c>
      <c r="J314">
        <v>316</v>
      </c>
      <c r="K314">
        <v>4.26</v>
      </c>
      <c r="M314">
        <v>401</v>
      </c>
      <c r="N314">
        <v>4.79</v>
      </c>
      <c r="O314">
        <v>4.4999999999999997E-3</v>
      </c>
      <c r="P314">
        <v>402</v>
      </c>
      <c r="Q314">
        <v>4.08</v>
      </c>
      <c r="R314">
        <v>0</v>
      </c>
    </row>
    <row r="315" spans="4:18" x14ac:dyDescent="0.3">
      <c r="D315">
        <v>317</v>
      </c>
      <c r="E315">
        <v>3.88</v>
      </c>
      <c r="G315">
        <v>317</v>
      </c>
      <c r="H315">
        <v>4.0199999999999996</v>
      </c>
      <c r="J315">
        <v>317</v>
      </c>
      <c r="K315">
        <v>4.26</v>
      </c>
      <c r="M315">
        <v>402</v>
      </c>
      <c r="N315">
        <v>4.84</v>
      </c>
      <c r="P315">
        <v>403</v>
      </c>
      <c r="Q315">
        <v>4.08</v>
      </c>
    </row>
    <row r="316" spans="4:18" x14ac:dyDescent="0.3">
      <c r="D316">
        <v>318</v>
      </c>
      <c r="E316">
        <v>3.88</v>
      </c>
      <c r="G316">
        <v>318</v>
      </c>
      <c r="H316">
        <v>4.0199999999999996</v>
      </c>
      <c r="J316">
        <v>318</v>
      </c>
      <c r="K316">
        <v>4.26</v>
      </c>
      <c r="M316">
        <v>403</v>
      </c>
      <c r="N316">
        <v>4.84</v>
      </c>
      <c r="P316">
        <v>404</v>
      </c>
      <c r="Q316">
        <v>4.08</v>
      </c>
    </row>
    <row r="317" spans="4:18" x14ac:dyDescent="0.3">
      <c r="D317">
        <v>319</v>
      </c>
      <c r="E317">
        <v>3.88</v>
      </c>
      <c r="G317">
        <v>319</v>
      </c>
      <c r="H317">
        <v>4.0199999999999996</v>
      </c>
      <c r="J317">
        <v>319</v>
      </c>
      <c r="K317">
        <v>4.26</v>
      </c>
      <c r="M317">
        <v>404</v>
      </c>
      <c r="N317">
        <v>4.84</v>
      </c>
      <c r="P317">
        <v>405</v>
      </c>
      <c r="Q317">
        <v>4.08</v>
      </c>
    </row>
    <row r="318" spans="4:18" x14ac:dyDescent="0.3">
      <c r="D318">
        <v>320</v>
      </c>
      <c r="E318">
        <v>3.88</v>
      </c>
      <c r="G318">
        <v>320</v>
      </c>
      <c r="H318">
        <v>4.0199999999999996</v>
      </c>
      <c r="J318">
        <v>320</v>
      </c>
      <c r="K318">
        <v>4.26</v>
      </c>
      <c r="M318">
        <v>405</v>
      </c>
      <c r="N318">
        <v>4.84</v>
      </c>
      <c r="P318">
        <v>406</v>
      </c>
      <c r="Q318">
        <v>4.08</v>
      </c>
    </row>
    <row r="319" spans="4:18" x14ac:dyDescent="0.3">
      <c r="D319">
        <v>321</v>
      </c>
      <c r="E319">
        <v>3.88</v>
      </c>
      <c r="G319">
        <v>321</v>
      </c>
      <c r="H319">
        <v>4.0199999999999996</v>
      </c>
      <c r="J319">
        <v>321</v>
      </c>
      <c r="K319">
        <v>4.26</v>
      </c>
      <c r="M319">
        <v>406</v>
      </c>
      <c r="N319">
        <v>4.84</v>
      </c>
      <c r="P319">
        <v>407</v>
      </c>
      <c r="Q319">
        <v>4.08</v>
      </c>
    </row>
    <row r="320" spans="4:18" x14ac:dyDescent="0.3">
      <c r="D320">
        <v>322</v>
      </c>
      <c r="E320">
        <v>3.88</v>
      </c>
      <c r="G320">
        <v>322</v>
      </c>
      <c r="H320">
        <v>4.0199999999999996</v>
      </c>
      <c r="J320">
        <v>322</v>
      </c>
      <c r="K320">
        <v>4.26</v>
      </c>
      <c r="M320">
        <v>407</v>
      </c>
      <c r="N320">
        <v>4.84</v>
      </c>
      <c r="P320">
        <v>408</v>
      </c>
      <c r="Q320">
        <v>4.08</v>
      </c>
    </row>
    <row r="321" spans="4:18" x14ac:dyDescent="0.3">
      <c r="D321">
        <v>323</v>
      </c>
      <c r="E321">
        <v>3.88</v>
      </c>
      <c r="G321">
        <v>323</v>
      </c>
      <c r="H321">
        <v>4.0199999999999996</v>
      </c>
      <c r="J321">
        <v>323</v>
      </c>
      <c r="K321">
        <v>4.26</v>
      </c>
      <c r="M321">
        <v>408</v>
      </c>
      <c r="N321">
        <v>4.84</v>
      </c>
      <c r="P321">
        <v>409</v>
      </c>
      <c r="Q321">
        <v>4.08</v>
      </c>
    </row>
    <row r="322" spans="4:18" x14ac:dyDescent="0.3">
      <c r="D322">
        <v>324</v>
      </c>
      <c r="E322">
        <v>3.88</v>
      </c>
      <c r="G322">
        <v>324</v>
      </c>
      <c r="H322">
        <v>4.0199999999999996</v>
      </c>
      <c r="J322">
        <v>324</v>
      </c>
      <c r="K322">
        <v>4.26</v>
      </c>
      <c r="M322">
        <v>409</v>
      </c>
      <c r="N322">
        <v>4.84</v>
      </c>
      <c r="P322">
        <v>410</v>
      </c>
      <c r="Q322">
        <v>4.08</v>
      </c>
    </row>
    <row r="323" spans="4:18" x14ac:dyDescent="0.3">
      <c r="D323">
        <v>325</v>
      </c>
      <c r="E323">
        <v>3.88</v>
      </c>
      <c r="G323">
        <v>325</v>
      </c>
      <c r="H323">
        <v>4.0199999999999996</v>
      </c>
      <c r="J323">
        <v>325</v>
      </c>
      <c r="K323">
        <v>4.26</v>
      </c>
      <c r="M323">
        <v>410</v>
      </c>
      <c r="N323">
        <v>4.84</v>
      </c>
      <c r="P323">
        <v>411</v>
      </c>
      <c r="Q323">
        <v>4.08</v>
      </c>
    </row>
    <row r="324" spans="4:18" x14ac:dyDescent="0.3">
      <c r="D324">
        <v>326</v>
      </c>
      <c r="E324">
        <v>3.88</v>
      </c>
      <c r="G324">
        <v>326</v>
      </c>
      <c r="H324">
        <v>4.0199999999999996</v>
      </c>
      <c r="J324">
        <v>326</v>
      </c>
      <c r="K324">
        <v>4.26</v>
      </c>
      <c r="M324">
        <v>411</v>
      </c>
      <c r="N324">
        <v>4.84</v>
      </c>
      <c r="P324">
        <v>412</v>
      </c>
      <c r="Q324">
        <v>4.08</v>
      </c>
    </row>
    <row r="325" spans="4:18" x14ac:dyDescent="0.3">
      <c r="D325">
        <v>327</v>
      </c>
      <c r="E325">
        <v>3.88</v>
      </c>
      <c r="G325">
        <v>327</v>
      </c>
      <c r="H325">
        <v>4.0199999999999996</v>
      </c>
      <c r="J325">
        <v>327</v>
      </c>
      <c r="K325">
        <v>4.26</v>
      </c>
      <c r="M325">
        <v>412</v>
      </c>
      <c r="N325">
        <v>4.84</v>
      </c>
      <c r="P325">
        <v>413</v>
      </c>
      <c r="Q325">
        <v>4.08</v>
      </c>
    </row>
    <row r="326" spans="4:18" x14ac:dyDescent="0.3">
      <c r="D326">
        <v>328</v>
      </c>
      <c r="E326">
        <v>3.88</v>
      </c>
      <c r="G326">
        <v>328</v>
      </c>
      <c r="H326">
        <v>4.0199999999999996</v>
      </c>
      <c r="J326">
        <v>328</v>
      </c>
      <c r="K326">
        <v>4.26</v>
      </c>
      <c r="M326">
        <v>413</v>
      </c>
      <c r="N326">
        <v>4.84</v>
      </c>
      <c r="P326">
        <v>414</v>
      </c>
      <c r="Q326">
        <v>4.08</v>
      </c>
    </row>
    <row r="327" spans="4:18" x14ac:dyDescent="0.3">
      <c r="D327">
        <v>329</v>
      </c>
      <c r="E327">
        <v>3.95</v>
      </c>
      <c r="G327">
        <v>329</v>
      </c>
      <c r="H327">
        <v>4.1100000000000003</v>
      </c>
      <c r="I327">
        <v>0</v>
      </c>
      <c r="J327">
        <v>329</v>
      </c>
      <c r="K327">
        <v>4.41</v>
      </c>
      <c r="L327">
        <v>0</v>
      </c>
      <c r="M327">
        <v>414</v>
      </c>
      <c r="N327">
        <v>4.84</v>
      </c>
      <c r="P327">
        <v>415</v>
      </c>
      <c r="Q327">
        <v>4.08</v>
      </c>
    </row>
    <row r="328" spans="4:18" x14ac:dyDescent="0.3">
      <c r="D328">
        <v>330</v>
      </c>
      <c r="E328">
        <v>3.95</v>
      </c>
      <c r="G328">
        <v>330</v>
      </c>
      <c r="H328">
        <v>4.1100000000000003</v>
      </c>
      <c r="J328">
        <v>330</v>
      </c>
      <c r="K328">
        <v>4.41</v>
      </c>
      <c r="M328">
        <v>415</v>
      </c>
      <c r="N328">
        <v>4.84</v>
      </c>
      <c r="P328">
        <v>416</v>
      </c>
      <c r="Q328">
        <v>4.08</v>
      </c>
    </row>
    <row r="329" spans="4:18" x14ac:dyDescent="0.3">
      <c r="D329">
        <v>331</v>
      </c>
      <c r="E329">
        <v>3.95</v>
      </c>
      <c r="G329">
        <v>331</v>
      </c>
      <c r="H329">
        <v>4.1100000000000003</v>
      </c>
      <c r="J329">
        <v>331</v>
      </c>
      <c r="K329">
        <v>4.41</v>
      </c>
      <c r="M329">
        <v>416</v>
      </c>
      <c r="N329">
        <v>4.84</v>
      </c>
      <c r="P329">
        <v>417</v>
      </c>
      <c r="Q329">
        <v>4.08</v>
      </c>
    </row>
    <row r="330" spans="4:18" x14ac:dyDescent="0.3">
      <c r="D330">
        <v>332</v>
      </c>
      <c r="E330">
        <v>3.95</v>
      </c>
      <c r="G330">
        <v>332</v>
      </c>
      <c r="H330">
        <v>4.1100000000000003</v>
      </c>
      <c r="J330">
        <v>332</v>
      </c>
      <c r="K330">
        <v>4.41</v>
      </c>
      <c r="M330">
        <v>417</v>
      </c>
      <c r="N330">
        <v>4.84</v>
      </c>
      <c r="P330">
        <v>418</v>
      </c>
      <c r="Q330">
        <v>4.08</v>
      </c>
    </row>
    <row r="331" spans="4:18" x14ac:dyDescent="0.3">
      <c r="D331">
        <v>333</v>
      </c>
      <c r="E331">
        <v>3.95</v>
      </c>
      <c r="G331">
        <v>333</v>
      </c>
      <c r="H331">
        <v>4.1100000000000003</v>
      </c>
      <c r="J331">
        <v>333</v>
      </c>
      <c r="K331">
        <v>4.41</v>
      </c>
      <c r="M331">
        <v>418</v>
      </c>
      <c r="N331">
        <v>4.84</v>
      </c>
      <c r="P331">
        <v>419</v>
      </c>
      <c r="Q331">
        <v>4.08</v>
      </c>
    </row>
    <row r="332" spans="4:18" x14ac:dyDescent="0.3">
      <c r="D332">
        <v>334</v>
      </c>
      <c r="E332">
        <v>3.95</v>
      </c>
      <c r="G332">
        <v>334</v>
      </c>
      <c r="H332">
        <v>4.1100000000000003</v>
      </c>
      <c r="J332">
        <v>334</v>
      </c>
      <c r="K332">
        <v>4.41</v>
      </c>
      <c r="M332">
        <v>419</v>
      </c>
      <c r="N332">
        <v>4.84</v>
      </c>
      <c r="P332">
        <v>420</v>
      </c>
      <c r="Q332">
        <v>4.08</v>
      </c>
    </row>
    <row r="333" spans="4:18" x14ac:dyDescent="0.3">
      <c r="D333">
        <v>335</v>
      </c>
      <c r="E333">
        <v>3.95</v>
      </c>
      <c r="G333">
        <v>335</v>
      </c>
      <c r="H333">
        <v>4.1100000000000003</v>
      </c>
      <c r="J333">
        <v>335</v>
      </c>
      <c r="K333">
        <v>4.41</v>
      </c>
      <c r="M333">
        <v>420</v>
      </c>
      <c r="N333">
        <v>4.84</v>
      </c>
      <c r="O333">
        <v>5.4999999999999997E-3</v>
      </c>
      <c r="P333">
        <v>421</v>
      </c>
      <c r="Q333">
        <v>4.17</v>
      </c>
      <c r="R333">
        <v>5.4999999999999997E-3</v>
      </c>
    </row>
    <row r="334" spans="4:18" x14ac:dyDescent="0.3">
      <c r="D334">
        <v>336</v>
      </c>
      <c r="E334">
        <v>3.95</v>
      </c>
      <c r="G334">
        <v>336</v>
      </c>
      <c r="H334">
        <v>4.1100000000000003</v>
      </c>
      <c r="J334">
        <v>336</v>
      </c>
      <c r="K334">
        <v>4.41</v>
      </c>
      <c r="M334">
        <v>421</v>
      </c>
      <c r="N334">
        <v>4.93</v>
      </c>
      <c r="P334">
        <v>422</v>
      </c>
      <c r="Q334">
        <v>4.17</v>
      </c>
    </row>
    <row r="335" spans="4:18" x14ac:dyDescent="0.3">
      <c r="D335">
        <v>337</v>
      </c>
      <c r="E335">
        <v>3.95</v>
      </c>
      <c r="G335">
        <v>337</v>
      </c>
      <c r="H335">
        <v>4.1100000000000003</v>
      </c>
      <c r="J335">
        <v>337</v>
      </c>
      <c r="K335">
        <v>4.41</v>
      </c>
      <c r="M335">
        <v>422</v>
      </c>
      <c r="N335">
        <v>4.93</v>
      </c>
      <c r="P335">
        <v>423</v>
      </c>
      <c r="Q335">
        <v>4.17</v>
      </c>
    </row>
    <row r="336" spans="4:18" x14ac:dyDescent="0.3">
      <c r="D336">
        <v>338</v>
      </c>
      <c r="E336">
        <v>3.95</v>
      </c>
      <c r="G336">
        <v>338</v>
      </c>
      <c r="H336">
        <v>4.1100000000000003</v>
      </c>
      <c r="J336">
        <v>338</v>
      </c>
      <c r="K336">
        <v>4.41</v>
      </c>
      <c r="M336">
        <v>423</v>
      </c>
      <c r="N336">
        <v>4.93</v>
      </c>
      <c r="P336">
        <v>424</v>
      </c>
      <c r="Q336">
        <v>4.17</v>
      </c>
    </row>
    <row r="337" spans="4:18" x14ac:dyDescent="0.3">
      <c r="D337">
        <v>339</v>
      </c>
      <c r="E337">
        <v>3.95</v>
      </c>
      <c r="G337">
        <v>339</v>
      </c>
      <c r="H337">
        <v>4.1100000000000003</v>
      </c>
      <c r="J337">
        <v>339</v>
      </c>
      <c r="K337">
        <v>4.41</v>
      </c>
      <c r="M337">
        <v>424</v>
      </c>
      <c r="N337">
        <v>4.93</v>
      </c>
      <c r="P337">
        <v>425</v>
      </c>
      <c r="Q337">
        <v>4.17</v>
      </c>
    </row>
    <row r="338" spans="4:18" x14ac:dyDescent="0.3">
      <c r="D338">
        <v>340</v>
      </c>
      <c r="E338">
        <v>3.95</v>
      </c>
      <c r="G338">
        <v>340</v>
      </c>
      <c r="H338">
        <v>4.1100000000000003</v>
      </c>
      <c r="J338">
        <v>340</v>
      </c>
      <c r="K338">
        <v>4.41</v>
      </c>
      <c r="M338">
        <v>425</v>
      </c>
      <c r="N338">
        <v>4.93</v>
      </c>
      <c r="P338">
        <v>426</v>
      </c>
      <c r="Q338">
        <v>4.17</v>
      </c>
    </row>
    <row r="339" spans="4:18" x14ac:dyDescent="0.3">
      <c r="D339">
        <v>341</v>
      </c>
      <c r="E339">
        <v>3.95</v>
      </c>
      <c r="G339">
        <v>341</v>
      </c>
      <c r="H339">
        <v>4.1100000000000003</v>
      </c>
      <c r="J339">
        <v>341</v>
      </c>
      <c r="K339">
        <v>4.41</v>
      </c>
      <c r="M339">
        <v>426</v>
      </c>
      <c r="N339">
        <v>4.93</v>
      </c>
      <c r="P339">
        <v>427</v>
      </c>
      <c r="Q339">
        <v>4.17</v>
      </c>
    </row>
    <row r="340" spans="4:18" x14ac:dyDescent="0.3">
      <c r="D340">
        <v>342</v>
      </c>
      <c r="E340">
        <v>3.95</v>
      </c>
      <c r="G340">
        <v>342</v>
      </c>
      <c r="H340">
        <v>4.1100000000000003</v>
      </c>
      <c r="J340">
        <v>342</v>
      </c>
      <c r="K340">
        <v>4.41</v>
      </c>
      <c r="M340">
        <v>427</v>
      </c>
      <c r="N340">
        <v>4.93</v>
      </c>
      <c r="P340">
        <v>428</v>
      </c>
      <c r="Q340">
        <v>4.17</v>
      </c>
    </row>
    <row r="341" spans="4:18" x14ac:dyDescent="0.3">
      <c r="D341">
        <v>343</v>
      </c>
      <c r="E341">
        <v>3.95</v>
      </c>
      <c r="G341">
        <v>343</v>
      </c>
      <c r="H341">
        <v>4.1100000000000003</v>
      </c>
      <c r="J341">
        <v>343</v>
      </c>
      <c r="K341">
        <v>4.41</v>
      </c>
      <c r="M341">
        <v>428</v>
      </c>
      <c r="N341">
        <v>4.93</v>
      </c>
      <c r="P341">
        <v>429</v>
      </c>
      <c r="Q341">
        <v>4.17</v>
      </c>
    </row>
    <row r="342" spans="4:18" x14ac:dyDescent="0.3">
      <c r="D342">
        <v>344</v>
      </c>
      <c r="E342">
        <v>3.95</v>
      </c>
      <c r="G342">
        <v>344</v>
      </c>
      <c r="H342">
        <v>4.1100000000000003</v>
      </c>
      <c r="J342">
        <v>344</v>
      </c>
      <c r="K342">
        <v>4.41</v>
      </c>
      <c r="M342">
        <v>429</v>
      </c>
      <c r="N342">
        <v>4.93</v>
      </c>
      <c r="P342">
        <v>430</v>
      </c>
      <c r="Q342">
        <v>4.2249999999999996</v>
      </c>
      <c r="R342">
        <v>5.4999999999999997E-3</v>
      </c>
    </row>
    <row r="343" spans="4:18" x14ac:dyDescent="0.3">
      <c r="D343">
        <v>345</v>
      </c>
      <c r="E343">
        <v>3.95</v>
      </c>
      <c r="G343">
        <v>345</v>
      </c>
      <c r="H343">
        <v>4.1100000000000003</v>
      </c>
      <c r="J343">
        <v>345</v>
      </c>
      <c r="K343">
        <v>4.41</v>
      </c>
      <c r="M343">
        <v>430</v>
      </c>
      <c r="N343">
        <v>4.93</v>
      </c>
      <c r="P343">
        <v>431</v>
      </c>
      <c r="Q343">
        <v>4.2249999999999996</v>
      </c>
    </row>
    <row r="344" spans="4:18" x14ac:dyDescent="0.3">
      <c r="D344">
        <v>346</v>
      </c>
      <c r="E344">
        <v>3.95</v>
      </c>
      <c r="G344">
        <v>346</v>
      </c>
      <c r="H344">
        <v>4.1100000000000003</v>
      </c>
      <c r="J344">
        <v>346</v>
      </c>
      <c r="K344">
        <v>4.41</v>
      </c>
      <c r="M344">
        <v>431</v>
      </c>
      <c r="N344">
        <v>4.93</v>
      </c>
      <c r="P344">
        <v>432</v>
      </c>
      <c r="Q344">
        <v>4.2249999999999996</v>
      </c>
    </row>
    <row r="345" spans="4:18" x14ac:dyDescent="0.3">
      <c r="D345">
        <v>347</v>
      </c>
      <c r="E345">
        <v>3.95</v>
      </c>
      <c r="G345">
        <v>347</v>
      </c>
      <c r="H345">
        <v>4.1100000000000003</v>
      </c>
      <c r="J345">
        <v>347</v>
      </c>
      <c r="K345">
        <v>4.41</v>
      </c>
      <c r="M345">
        <v>432</v>
      </c>
      <c r="N345">
        <v>4.93</v>
      </c>
      <c r="P345">
        <v>433</v>
      </c>
      <c r="Q345">
        <v>4.2249999999999996</v>
      </c>
    </row>
    <row r="346" spans="4:18" x14ac:dyDescent="0.3">
      <c r="D346">
        <v>348</v>
      </c>
      <c r="E346">
        <v>4.03</v>
      </c>
      <c r="G346">
        <v>348</v>
      </c>
      <c r="H346">
        <v>4.1100000000000003</v>
      </c>
      <c r="J346">
        <v>348</v>
      </c>
      <c r="K346">
        <v>4.41</v>
      </c>
      <c r="M346">
        <v>433</v>
      </c>
      <c r="N346">
        <v>4.93</v>
      </c>
      <c r="P346">
        <v>434</v>
      </c>
      <c r="Q346">
        <v>4.2249999999999996</v>
      </c>
    </row>
    <row r="347" spans="4:18" x14ac:dyDescent="0.3">
      <c r="D347">
        <v>349</v>
      </c>
      <c r="E347">
        <v>4.03</v>
      </c>
      <c r="G347">
        <v>349</v>
      </c>
      <c r="H347">
        <v>4.1100000000000003</v>
      </c>
      <c r="J347">
        <v>349</v>
      </c>
      <c r="K347">
        <v>4.41</v>
      </c>
      <c r="M347">
        <v>434</v>
      </c>
      <c r="N347">
        <v>4.93</v>
      </c>
      <c r="P347">
        <v>435</v>
      </c>
      <c r="Q347">
        <v>4.2249999999999996</v>
      </c>
    </row>
    <row r="348" spans="4:18" x14ac:dyDescent="0.3">
      <c r="D348">
        <v>350</v>
      </c>
      <c r="E348">
        <v>4.03</v>
      </c>
      <c r="G348">
        <v>350</v>
      </c>
      <c r="H348">
        <v>4.1100000000000003</v>
      </c>
      <c r="J348">
        <v>350</v>
      </c>
      <c r="K348">
        <v>4.41</v>
      </c>
      <c r="M348">
        <v>435</v>
      </c>
      <c r="N348">
        <v>4.93</v>
      </c>
      <c r="P348">
        <v>436</v>
      </c>
      <c r="Q348">
        <v>4.2249999999999996</v>
      </c>
    </row>
    <row r="349" spans="4:18" x14ac:dyDescent="0.3">
      <c r="D349">
        <v>351</v>
      </c>
      <c r="E349">
        <v>4.03</v>
      </c>
      <c r="G349">
        <v>351</v>
      </c>
      <c r="H349">
        <v>4.1100000000000003</v>
      </c>
      <c r="J349">
        <v>351</v>
      </c>
      <c r="K349">
        <v>4.41</v>
      </c>
      <c r="M349">
        <v>436</v>
      </c>
      <c r="N349">
        <v>4.93</v>
      </c>
      <c r="P349">
        <v>437</v>
      </c>
      <c r="Q349">
        <v>4.2249999999999996</v>
      </c>
    </row>
    <row r="350" spans="4:18" x14ac:dyDescent="0.3">
      <c r="D350">
        <v>352</v>
      </c>
      <c r="E350">
        <v>4.03</v>
      </c>
      <c r="G350">
        <v>352</v>
      </c>
      <c r="H350">
        <v>4.1100000000000003</v>
      </c>
      <c r="J350">
        <v>352</v>
      </c>
      <c r="K350">
        <v>4.41</v>
      </c>
      <c r="M350">
        <v>437</v>
      </c>
      <c r="N350">
        <v>4.93</v>
      </c>
      <c r="P350">
        <v>438</v>
      </c>
      <c r="Q350">
        <v>4.2249999999999996</v>
      </c>
    </row>
    <row r="351" spans="4:18" x14ac:dyDescent="0.3">
      <c r="D351">
        <v>353</v>
      </c>
      <c r="E351">
        <v>4.03</v>
      </c>
      <c r="G351">
        <v>353</v>
      </c>
      <c r="H351">
        <v>4.1100000000000003</v>
      </c>
      <c r="J351">
        <v>353</v>
      </c>
      <c r="K351">
        <v>4.41</v>
      </c>
      <c r="M351">
        <v>438</v>
      </c>
      <c r="N351">
        <v>4.93</v>
      </c>
      <c r="O351">
        <v>6.4999999999999997E-3</v>
      </c>
      <c r="P351">
        <v>439</v>
      </c>
      <c r="Q351">
        <v>4.28</v>
      </c>
      <c r="R351">
        <v>6.4999999999999997E-3</v>
      </c>
    </row>
    <row r="352" spans="4:18" x14ac:dyDescent="0.3">
      <c r="D352">
        <v>354</v>
      </c>
      <c r="E352">
        <v>4.03</v>
      </c>
      <c r="G352">
        <v>354</v>
      </c>
      <c r="H352">
        <v>4.1100000000000003</v>
      </c>
      <c r="J352">
        <v>354</v>
      </c>
      <c r="K352">
        <v>4.41</v>
      </c>
      <c r="M352">
        <v>439</v>
      </c>
      <c r="N352">
        <v>5.04</v>
      </c>
      <c r="P352">
        <v>440</v>
      </c>
      <c r="Q352">
        <v>4.28</v>
      </c>
    </row>
    <row r="353" spans="4:18" x14ac:dyDescent="0.3">
      <c r="D353">
        <v>355</v>
      </c>
      <c r="E353">
        <v>4.03</v>
      </c>
      <c r="G353">
        <v>355</v>
      </c>
      <c r="H353">
        <v>4.1100000000000003</v>
      </c>
      <c r="J353">
        <v>355</v>
      </c>
      <c r="K353">
        <v>4.41</v>
      </c>
      <c r="M353">
        <v>440</v>
      </c>
      <c r="N353">
        <v>5.04</v>
      </c>
      <c r="P353">
        <v>441</v>
      </c>
      <c r="Q353">
        <v>4.28</v>
      </c>
    </row>
    <row r="354" spans="4:18" x14ac:dyDescent="0.3">
      <c r="D354">
        <v>356</v>
      </c>
      <c r="E354">
        <v>4.03</v>
      </c>
      <c r="G354">
        <v>356</v>
      </c>
      <c r="H354">
        <v>4.1100000000000003</v>
      </c>
      <c r="J354">
        <v>356</v>
      </c>
      <c r="K354">
        <v>4.41</v>
      </c>
      <c r="M354">
        <v>441</v>
      </c>
      <c r="N354">
        <v>5.04</v>
      </c>
      <c r="P354">
        <v>442</v>
      </c>
      <c r="Q354">
        <v>4.28</v>
      </c>
    </row>
    <row r="355" spans="4:18" x14ac:dyDescent="0.3">
      <c r="D355">
        <v>357</v>
      </c>
      <c r="E355">
        <v>4.03</v>
      </c>
      <c r="G355">
        <v>357</v>
      </c>
      <c r="H355">
        <v>4.1100000000000003</v>
      </c>
      <c r="J355">
        <v>357</v>
      </c>
      <c r="K355">
        <v>4.41</v>
      </c>
      <c r="M355">
        <v>442</v>
      </c>
      <c r="N355">
        <v>5.04</v>
      </c>
      <c r="P355">
        <v>443</v>
      </c>
      <c r="Q355">
        <v>4.28</v>
      </c>
    </row>
    <row r="356" spans="4:18" x14ac:dyDescent="0.3">
      <c r="D356">
        <v>358</v>
      </c>
      <c r="E356">
        <v>4.03</v>
      </c>
      <c r="G356">
        <v>358</v>
      </c>
      <c r="H356">
        <v>4.1100000000000003</v>
      </c>
      <c r="J356">
        <v>358</v>
      </c>
      <c r="K356">
        <v>4.41</v>
      </c>
      <c r="M356">
        <v>443</v>
      </c>
      <c r="N356">
        <v>5.04</v>
      </c>
      <c r="P356">
        <v>444</v>
      </c>
      <c r="Q356">
        <v>4.28</v>
      </c>
    </row>
    <row r="357" spans="4:18" x14ac:dyDescent="0.3">
      <c r="D357">
        <v>359</v>
      </c>
      <c r="E357">
        <v>4.03</v>
      </c>
      <c r="G357">
        <v>359</v>
      </c>
      <c r="H357">
        <v>4.1100000000000003</v>
      </c>
      <c r="J357">
        <v>359</v>
      </c>
      <c r="K357">
        <v>4.41</v>
      </c>
      <c r="M357">
        <v>444</v>
      </c>
      <c r="N357">
        <v>5.04</v>
      </c>
      <c r="P357">
        <v>445</v>
      </c>
      <c r="Q357">
        <v>4.28</v>
      </c>
    </row>
    <row r="358" spans="4:18" x14ac:dyDescent="0.3">
      <c r="D358">
        <v>360</v>
      </c>
      <c r="E358">
        <v>4.03</v>
      </c>
      <c r="G358">
        <v>360</v>
      </c>
      <c r="H358">
        <v>4.1100000000000003</v>
      </c>
      <c r="J358">
        <v>360</v>
      </c>
      <c r="K358">
        <v>4.41</v>
      </c>
      <c r="M358">
        <v>445</v>
      </c>
      <c r="N358">
        <v>5.04</v>
      </c>
      <c r="P358">
        <v>446</v>
      </c>
      <c r="Q358">
        <v>4.28</v>
      </c>
    </row>
    <row r="359" spans="4:18" x14ac:dyDescent="0.3">
      <c r="D359">
        <v>361</v>
      </c>
      <c r="E359">
        <v>4.03</v>
      </c>
      <c r="G359">
        <v>361</v>
      </c>
      <c r="H359">
        <v>4.1100000000000003</v>
      </c>
      <c r="J359">
        <v>361</v>
      </c>
      <c r="K359">
        <v>4.41</v>
      </c>
      <c r="M359">
        <v>446</v>
      </c>
      <c r="N359">
        <v>5.04</v>
      </c>
      <c r="P359">
        <v>447</v>
      </c>
      <c r="Q359">
        <v>4.28</v>
      </c>
    </row>
    <row r="360" spans="4:18" x14ac:dyDescent="0.3">
      <c r="D360">
        <v>362</v>
      </c>
      <c r="E360">
        <v>4.03</v>
      </c>
      <c r="G360">
        <v>362</v>
      </c>
      <c r="H360">
        <v>4.1100000000000003</v>
      </c>
      <c r="J360">
        <v>362</v>
      </c>
      <c r="K360">
        <v>4.41</v>
      </c>
      <c r="M360">
        <v>447</v>
      </c>
      <c r="N360">
        <v>5.04</v>
      </c>
      <c r="P360">
        <v>448</v>
      </c>
      <c r="Q360">
        <v>4.3449999999999998</v>
      </c>
      <c r="R360">
        <v>6.4999999999999997E-3</v>
      </c>
    </row>
    <row r="361" spans="4:18" x14ac:dyDescent="0.3">
      <c r="D361">
        <v>363</v>
      </c>
      <c r="E361">
        <v>4.03</v>
      </c>
      <c r="G361">
        <v>363</v>
      </c>
      <c r="H361">
        <v>4.1100000000000003</v>
      </c>
      <c r="J361">
        <v>363</v>
      </c>
      <c r="K361">
        <v>4.41</v>
      </c>
      <c r="M361">
        <v>448</v>
      </c>
      <c r="N361">
        <v>5.04</v>
      </c>
      <c r="P361">
        <v>449</v>
      </c>
      <c r="Q361">
        <v>4.3449999999999998</v>
      </c>
    </row>
    <row r="362" spans="4:18" x14ac:dyDescent="0.3">
      <c r="D362">
        <v>364</v>
      </c>
      <c r="E362">
        <v>4.03</v>
      </c>
      <c r="G362">
        <v>364</v>
      </c>
      <c r="H362">
        <v>4.1100000000000003</v>
      </c>
      <c r="J362">
        <v>364</v>
      </c>
      <c r="K362">
        <v>4.41</v>
      </c>
      <c r="M362">
        <v>449</v>
      </c>
      <c r="N362">
        <v>5.04</v>
      </c>
      <c r="P362">
        <v>450</v>
      </c>
      <c r="Q362">
        <v>4.3449999999999998</v>
      </c>
    </row>
    <row r="363" spans="4:18" x14ac:dyDescent="0.3">
      <c r="D363">
        <v>365</v>
      </c>
      <c r="E363">
        <v>4.03</v>
      </c>
      <c r="G363">
        <v>365</v>
      </c>
      <c r="H363">
        <v>4.1100000000000003</v>
      </c>
      <c r="J363">
        <v>365</v>
      </c>
      <c r="K363">
        <v>4.41</v>
      </c>
      <c r="M363">
        <v>450</v>
      </c>
      <c r="N363">
        <v>5.04</v>
      </c>
      <c r="P363">
        <v>451</v>
      </c>
      <c r="Q363">
        <v>4.3449999999999998</v>
      </c>
    </row>
    <row r="364" spans="4:18" x14ac:dyDescent="0.3">
      <c r="D364">
        <v>366</v>
      </c>
      <c r="E364">
        <v>4.1100000000000003</v>
      </c>
      <c r="G364">
        <v>366</v>
      </c>
      <c r="H364">
        <v>4.3</v>
      </c>
      <c r="I364">
        <v>2E-3</v>
      </c>
      <c r="J364">
        <v>366</v>
      </c>
      <c r="K364">
        <v>4.6900000000000004</v>
      </c>
      <c r="L364">
        <v>2E-3</v>
      </c>
      <c r="M364">
        <v>451</v>
      </c>
      <c r="N364">
        <v>5.04</v>
      </c>
      <c r="P364">
        <v>452</v>
      </c>
      <c r="Q364">
        <v>4.3449999999999998</v>
      </c>
    </row>
    <row r="365" spans="4:18" x14ac:dyDescent="0.3">
      <c r="D365">
        <v>367</v>
      </c>
      <c r="E365">
        <v>4.1100000000000003</v>
      </c>
      <c r="G365">
        <v>367</v>
      </c>
      <c r="H365">
        <v>4.3</v>
      </c>
      <c r="J365">
        <v>367</v>
      </c>
      <c r="K365">
        <v>4.6900000000000004</v>
      </c>
      <c r="M365">
        <v>452</v>
      </c>
      <c r="N365">
        <v>5.04</v>
      </c>
      <c r="P365">
        <v>453</v>
      </c>
      <c r="Q365">
        <v>4.3449999999999998</v>
      </c>
    </row>
    <row r="366" spans="4:18" x14ac:dyDescent="0.3">
      <c r="D366">
        <v>368</v>
      </c>
      <c r="E366">
        <v>4.1100000000000003</v>
      </c>
      <c r="G366">
        <v>368</v>
      </c>
      <c r="H366">
        <v>4.3</v>
      </c>
      <c r="J366">
        <v>368</v>
      </c>
      <c r="K366">
        <v>4.6900000000000004</v>
      </c>
      <c r="M366">
        <v>453</v>
      </c>
      <c r="N366">
        <v>5.04</v>
      </c>
      <c r="P366">
        <v>454</v>
      </c>
      <c r="Q366">
        <v>4.3449999999999998</v>
      </c>
    </row>
    <row r="367" spans="4:18" x14ac:dyDescent="0.3">
      <c r="D367">
        <v>369</v>
      </c>
      <c r="E367">
        <v>4.1100000000000003</v>
      </c>
      <c r="G367">
        <v>369</v>
      </c>
      <c r="H367">
        <v>4.3</v>
      </c>
      <c r="J367">
        <v>369</v>
      </c>
      <c r="K367">
        <v>4.6900000000000004</v>
      </c>
      <c r="M367">
        <v>454</v>
      </c>
      <c r="N367">
        <v>5.04</v>
      </c>
      <c r="P367">
        <v>455</v>
      </c>
      <c r="Q367">
        <v>4.3449999999999998</v>
      </c>
    </row>
    <row r="368" spans="4:18" x14ac:dyDescent="0.3">
      <c r="D368">
        <v>370</v>
      </c>
      <c r="E368">
        <v>4.1100000000000003</v>
      </c>
      <c r="G368">
        <v>370</v>
      </c>
      <c r="H368">
        <v>4.3</v>
      </c>
      <c r="J368">
        <v>370</v>
      </c>
      <c r="K368">
        <v>4.6900000000000004</v>
      </c>
      <c r="M368">
        <v>455</v>
      </c>
      <c r="N368">
        <v>5.04</v>
      </c>
      <c r="P368">
        <v>456</v>
      </c>
      <c r="Q368">
        <v>4.3449999999999998</v>
      </c>
    </row>
    <row r="369" spans="4:18" x14ac:dyDescent="0.3">
      <c r="D369">
        <v>371</v>
      </c>
      <c r="E369">
        <v>4.1100000000000003</v>
      </c>
      <c r="G369">
        <v>371</v>
      </c>
      <c r="H369">
        <v>4.3</v>
      </c>
      <c r="J369">
        <v>371</v>
      </c>
      <c r="K369">
        <v>4.6900000000000004</v>
      </c>
      <c r="M369">
        <v>456</v>
      </c>
      <c r="N369">
        <v>5.04</v>
      </c>
      <c r="O369">
        <v>0</v>
      </c>
      <c r="P369">
        <v>457</v>
      </c>
      <c r="Q369">
        <v>4.41</v>
      </c>
      <c r="R369">
        <v>6.4999999999999997E-3</v>
      </c>
    </row>
    <row r="370" spans="4:18" x14ac:dyDescent="0.3">
      <c r="D370">
        <v>372</v>
      </c>
      <c r="E370">
        <v>4.1100000000000003</v>
      </c>
      <c r="G370">
        <v>372</v>
      </c>
      <c r="H370">
        <v>4.3</v>
      </c>
      <c r="J370">
        <v>372</v>
      </c>
      <c r="K370">
        <v>4.6900000000000004</v>
      </c>
      <c r="M370">
        <v>457</v>
      </c>
      <c r="N370">
        <v>5.17</v>
      </c>
      <c r="P370">
        <v>458</v>
      </c>
      <c r="Q370">
        <v>4.41</v>
      </c>
    </row>
    <row r="371" spans="4:18" x14ac:dyDescent="0.3">
      <c r="D371">
        <v>373</v>
      </c>
      <c r="E371">
        <v>4.1100000000000003</v>
      </c>
      <c r="G371">
        <v>373</v>
      </c>
      <c r="H371">
        <v>4.3</v>
      </c>
      <c r="J371">
        <v>373</v>
      </c>
      <c r="K371">
        <v>4.6900000000000004</v>
      </c>
      <c r="M371">
        <v>458</v>
      </c>
      <c r="N371">
        <v>5.17</v>
      </c>
      <c r="P371">
        <v>459</v>
      </c>
      <c r="Q371">
        <v>4.41</v>
      </c>
    </row>
    <row r="372" spans="4:18" x14ac:dyDescent="0.3">
      <c r="D372">
        <v>374</v>
      </c>
      <c r="E372">
        <v>4.1100000000000003</v>
      </c>
      <c r="G372">
        <v>374</v>
      </c>
      <c r="H372">
        <v>4.3</v>
      </c>
      <c r="J372">
        <v>374</v>
      </c>
      <c r="K372">
        <v>4.6900000000000004</v>
      </c>
      <c r="M372">
        <v>459</v>
      </c>
      <c r="N372">
        <v>5.17</v>
      </c>
      <c r="P372">
        <v>460</v>
      </c>
      <c r="Q372">
        <v>4.41</v>
      </c>
    </row>
    <row r="373" spans="4:18" x14ac:dyDescent="0.3">
      <c r="D373">
        <v>375</v>
      </c>
      <c r="E373">
        <v>4.1100000000000003</v>
      </c>
      <c r="G373">
        <v>375</v>
      </c>
      <c r="H373">
        <v>4.3</v>
      </c>
      <c r="J373">
        <v>375</v>
      </c>
      <c r="K373">
        <v>4.6900000000000004</v>
      </c>
      <c r="M373">
        <v>460</v>
      </c>
      <c r="N373">
        <v>5.17</v>
      </c>
      <c r="P373">
        <v>461</v>
      </c>
      <c r="Q373">
        <v>4.41</v>
      </c>
    </row>
    <row r="374" spans="4:18" x14ac:dyDescent="0.3">
      <c r="D374">
        <v>376</v>
      </c>
      <c r="E374">
        <v>4.1100000000000003</v>
      </c>
      <c r="G374">
        <v>376</v>
      </c>
      <c r="H374">
        <v>4.3</v>
      </c>
      <c r="J374">
        <v>376</v>
      </c>
      <c r="K374">
        <v>4.6900000000000004</v>
      </c>
      <c r="M374">
        <v>461</v>
      </c>
      <c r="N374">
        <v>5.17</v>
      </c>
      <c r="P374">
        <v>462</v>
      </c>
      <c r="Q374">
        <v>4.41</v>
      </c>
    </row>
    <row r="375" spans="4:18" x14ac:dyDescent="0.3">
      <c r="D375">
        <v>377</v>
      </c>
      <c r="E375">
        <v>4.1100000000000003</v>
      </c>
      <c r="G375">
        <v>377</v>
      </c>
      <c r="H375">
        <v>4.3</v>
      </c>
      <c r="J375">
        <v>377</v>
      </c>
      <c r="K375">
        <v>4.6900000000000004</v>
      </c>
      <c r="M375">
        <v>462</v>
      </c>
      <c r="N375">
        <v>5.17</v>
      </c>
      <c r="P375">
        <v>463</v>
      </c>
      <c r="Q375">
        <v>4.41</v>
      </c>
    </row>
    <row r="376" spans="4:18" x14ac:dyDescent="0.3">
      <c r="D376">
        <v>378</v>
      </c>
      <c r="E376">
        <v>4.1100000000000003</v>
      </c>
      <c r="G376">
        <v>378</v>
      </c>
      <c r="H376">
        <v>4.3</v>
      </c>
      <c r="J376">
        <v>378</v>
      </c>
      <c r="K376">
        <v>4.6900000000000004</v>
      </c>
      <c r="M376">
        <v>463</v>
      </c>
      <c r="N376">
        <v>5.17</v>
      </c>
      <c r="P376">
        <v>464</v>
      </c>
      <c r="Q376">
        <v>4.41</v>
      </c>
    </row>
    <row r="377" spans="4:18" x14ac:dyDescent="0.3">
      <c r="D377">
        <v>379</v>
      </c>
      <c r="E377">
        <v>4.1100000000000003</v>
      </c>
      <c r="G377">
        <v>379</v>
      </c>
      <c r="H377">
        <v>4.3</v>
      </c>
      <c r="J377">
        <v>379</v>
      </c>
      <c r="K377">
        <v>4.6900000000000004</v>
      </c>
      <c r="M377">
        <v>464</v>
      </c>
      <c r="N377">
        <v>5.17</v>
      </c>
      <c r="P377">
        <v>465</v>
      </c>
      <c r="Q377">
        <v>4.41</v>
      </c>
    </row>
    <row r="378" spans="4:18" x14ac:dyDescent="0.3">
      <c r="D378">
        <v>380</v>
      </c>
      <c r="E378">
        <v>4.1100000000000003</v>
      </c>
      <c r="G378">
        <v>380</v>
      </c>
      <c r="H378">
        <v>4.3</v>
      </c>
      <c r="J378">
        <v>380</v>
      </c>
      <c r="K378">
        <v>4.6900000000000004</v>
      </c>
      <c r="M378">
        <v>465</v>
      </c>
      <c r="N378">
        <v>5.17</v>
      </c>
      <c r="P378">
        <v>466</v>
      </c>
      <c r="Q378">
        <v>4.4749999999999996</v>
      </c>
      <c r="R378">
        <v>0</v>
      </c>
    </row>
    <row r="379" spans="4:18" x14ac:dyDescent="0.3">
      <c r="D379">
        <v>381</v>
      </c>
      <c r="E379">
        <v>4.1100000000000003</v>
      </c>
      <c r="G379">
        <v>381</v>
      </c>
      <c r="H379">
        <v>4.3</v>
      </c>
      <c r="J379">
        <v>381</v>
      </c>
      <c r="K379">
        <v>4.6900000000000004</v>
      </c>
      <c r="M379">
        <v>466</v>
      </c>
      <c r="N379">
        <v>5.17</v>
      </c>
      <c r="P379">
        <v>467</v>
      </c>
      <c r="Q379">
        <v>4.4749999999999996</v>
      </c>
    </row>
    <row r="380" spans="4:18" x14ac:dyDescent="0.3">
      <c r="D380">
        <v>382</v>
      </c>
      <c r="E380">
        <v>4.1100000000000003</v>
      </c>
      <c r="G380">
        <v>382</v>
      </c>
      <c r="H380">
        <v>4.3</v>
      </c>
      <c r="J380">
        <v>382</v>
      </c>
      <c r="K380">
        <v>4.6900000000000004</v>
      </c>
      <c r="M380">
        <v>467</v>
      </c>
      <c r="N380">
        <v>5.17</v>
      </c>
      <c r="P380">
        <v>468</v>
      </c>
      <c r="Q380">
        <v>4.4749999999999996</v>
      </c>
    </row>
    <row r="381" spans="4:18" x14ac:dyDescent="0.3">
      <c r="D381">
        <v>383</v>
      </c>
      <c r="E381">
        <v>4.1100000000000003</v>
      </c>
      <c r="G381">
        <v>383</v>
      </c>
      <c r="H381">
        <v>4.3</v>
      </c>
      <c r="J381">
        <v>383</v>
      </c>
      <c r="K381">
        <v>4.6900000000000004</v>
      </c>
      <c r="M381">
        <v>468</v>
      </c>
      <c r="N381">
        <v>5.17</v>
      </c>
      <c r="P381">
        <v>469</v>
      </c>
      <c r="Q381">
        <v>4.4749999999999996</v>
      </c>
    </row>
    <row r="382" spans="4:18" x14ac:dyDescent="0.3">
      <c r="D382">
        <v>384</v>
      </c>
      <c r="E382">
        <v>4.1500000000000004</v>
      </c>
      <c r="G382">
        <v>384</v>
      </c>
      <c r="H382">
        <v>4.34</v>
      </c>
      <c r="I382">
        <v>2.5000000000000001E-3</v>
      </c>
      <c r="J382">
        <v>384</v>
      </c>
      <c r="K382">
        <v>4.7300000000000004</v>
      </c>
      <c r="L382">
        <v>2.5000000000000001E-3</v>
      </c>
      <c r="M382">
        <v>469</v>
      </c>
      <c r="N382">
        <v>5.17</v>
      </c>
      <c r="P382">
        <v>470</v>
      </c>
      <c r="Q382">
        <v>4.4749999999999996</v>
      </c>
    </row>
    <row r="383" spans="4:18" x14ac:dyDescent="0.3">
      <c r="D383">
        <v>385</v>
      </c>
      <c r="E383">
        <v>4.1500000000000004</v>
      </c>
      <c r="G383">
        <v>385</v>
      </c>
      <c r="H383">
        <v>4.34</v>
      </c>
      <c r="J383">
        <v>385</v>
      </c>
      <c r="K383">
        <v>4.7300000000000004</v>
      </c>
      <c r="M383">
        <v>470</v>
      </c>
      <c r="N383">
        <v>5.17</v>
      </c>
      <c r="P383">
        <v>471</v>
      </c>
      <c r="Q383">
        <v>4.4749999999999996</v>
      </c>
    </row>
    <row r="384" spans="4:18" x14ac:dyDescent="0.3">
      <c r="D384">
        <v>386</v>
      </c>
      <c r="E384">
        <v>4.1500000000000004</v>
      </c>
      <c r="G384">
        <v>386</v>
      </c>
      <c r="H384">
        <v>4.34</v>
      </c>
      <c r="J384">
        <v>386</v>
      </c>
      <c r="K384">
        <v>4.7300000000000004</v>
      </c>
      <c r="M384">
        <v>471</v>
      </c>
      <c r="N384">
        <v>5.17</v>
      </c>
      <c r="P384">
        <v>472</v>
      </c>
      <c r="Q384">
        <v>4.4749999999999996</v>
      </c>
    </row>
    <row r="385" spans="4:18" x14ac:dyDescent="0.3">
      <c r="D385">
        <v>387</v>
      </c>
      <c r="E385">
        <v>4.1500000000000004</v>
      </c>
      <c r="G385">
        <v>387</v>
      </c>
      <c r="H385">
        <v>4.34</v>
      </c>
      <c r="J385">
        <v>387</v>
      </c>
      <c r="K385">
        <v>4.7300000000000004</v>
      </c>
      <c r="M385">
        <v>472</v>
      </c>
      <c r="N385">
        <v>5.17</v>
      </c>
      <c r="P385">
        <v>473</v>
      </c>
      <c r="Q385">
        <v>4.4749999999999996</v>
      </c>
    </row>
    <row r="386" spans="4:18" x14ac:dyDescent="0.3">
      <c r="D386">
        <v>388</v>
      </c>
      <c r="E386">
        <v>4.1500000000000004</v>
      </c>
      <c r="G386">
        <v>388</v>
      </c>
      <c r="H386">
        <v>4.34</v>
      </c>
      <c r="J386">
        <v>388</v>
      </c>
      <c r="K386">
        <v>4.7300000000000004</v>
      </c>
      <c r="M386">
        <v>473</v>
      </c>
      <c r="N386">
        <v>5.17</v>
      </c>
      <c r="P386">
        <v>474</v>
      </c>
      <c r="Q386">
        <v>4.4749999999999996</v>
      </c>
    </row>
    <row r="387" spans="4:18" x14ac:dyDescent="0.3">
      <c r="D387">
        <v>389</v>
      </c>
      <c r="E387">
        <v>4.1500000000000004</v>
      </c>
      <c r="G387">
        <v>389</v>
      </c>
      <c r="H387">
        <v>4.34</v>
      </c>
      <c r="J387">
        <v>389</v>
      </c>
      <c r="K387">
        <v>4.7300000000000004</v>
      </c>
      <c r="M387">
        <v>474</v>
      </c>
      <c r="N387">
        <v>5.17</v>
      </c>
      <c r="P387">
        <v>475</v>
      </c>
      <c r="Q387">
        <v>4.4749999999999996</v>
      </c>
    </row>
    <row r="388" spans="4:18" x14ac:dyDescent="0.3">
      <c r="D388">
        <v>390</v>
      </c>
      <c r="E388">
        <v>4.1500000000000004</v>
      </c>
      <c r="G388">
        <v>390</v>
      </c>
      <c r="H388">
        <v>4.34</v>
      </c>
      <c r="J388">
        <v>390</v>
      </c>
      <c r="K388">
        <v>4.7300000000000004</v>
      </c>
      <c r="M388">
        <v>475</v>
      </c>
      <c r="N388">
        <v>5.17</v>
      </c>
      <c r="P388">
        <v>476</v>
      </c>
      <c r="Q388">
        <v>4.4749999999999996</v>
      </c>
    </row>
    <row r="389" spans="4:18" x14ac:dyDescent="0.3">
      <c r="D389">
        <v>391</v>
      </c>
      <c r="E389">
        <v>4.1500000000000004</v>
      </c>
      <c r="G389">
        <v>391</v>
      </c>
      <c r="H389">
        <v>4.34</v>
      </c>
      <c r="J389">
        <v>391</v>
      </c>
      <c r="K389">
        <v>4.7300000000000004</v>
      </c>
      <c r="M389">
        <v>476</v>
      </c>
      <c r="N389">
        <v>5.17</v>
      </c>
      <c r="P389">
        <v>477</v>
      </c>
      <c r="Q389">
        <v>4.4749999999999996</v>
      </c>
    </row>
    <row r="390" spans="4:18" x14ac:dyDescent="0.3">
      <c r="D390">
        <v>392</v>
      </c>
      <c r="E390">
        <v>4.1500000000000004</v>
      </c>
      <c r="G390">
        <v>392</v>
      </c>
      <c r="H390">
        <v>4.34</v>
      </c>
      <c r="J390">
        <v>392</v>
      </c>
      <c r="K390">
        <v>4.7300000000000004</v>
      </c>
      <c r="M390">
        <v>477</v>
      </c>
      <c r="N390">
        <v>5.17</v>
      </c>
      <c r="P390">
        <v>478</v>
      </c>
      <c r="Q390">
        <v>4.4749999999999996</v>
      </c>
    </row>
    <row r="391" spans="4:18" x14ac:dyDescent="0.3">
      <c r="D391">
        <v>393</v>
      </c>
      <c r="E391">
        <v>4.1500000000000004</v>
      </c>
      <c r="G391">
        <v>393</v>
      </c>
      <c r="H391">
        <v>4.34</v>
      </c>
      <c r="J391">
        <v>393</v>
      </c>
      <c r="K391">
        <v>4.7300000000000004</v>
      </c>
      <c r="M391">
        <v>478</v>
      </c>
      <c r="N391">
        <v>5.17</v>
      </c>
      <c r="P391">
        <v>479</v>
      </c>
      <c r="Q391">
        <v>4.4749999999999996</v>
      </c>
    </row>
    <row r="392" spans="4:18" x14ac:dyDescent="0.3">
      <c r="D392">
        <v>394</v>
      </c>
      <c r="E392">
        <v>4.1500000000000004</v>
      </c>
      <c r="G392">
        <v>394</v>
      </c>
      <c r="H392">
        <v>4.34</v>
      </c>
      <c r="J392">
        <v>394</v>
      </c>
      <c r="K392">
        <v>4.7300000000000004</v>
      </c>
      <c r="M392">
        <v>479</v>
      </c>
      <c r="N392">
        <v>5.17</v>
      </c>
      <c r="P392">
        <v>480</v>
      </c>
      <c r="Q392">
        <v>4.4749999999999996</v>
      </c>
    </row>
    <row r="393" spans="4:18" x14ac:dyDescent="0.3">
      <c r="D393">
        <v>395</v>
      </c>
      <c r="E393">
        <v>4.1500000000000004</v>
      </c>
      <c r="G393">
        <v>395</v>
      </c>
      <c r="H393">
        <v>4.34</v>
      </c>
      <c r="J393">
        <v>395</v>
      </c>
      <c r="K393">
        <v>4.7300000000000004</v>
      </c>
      <c r="M393">
        <v>480</v>
      </c>
      <c r="N393">
        <v>5.17</v>
      </c>
      <c r="P393">
        <v>481</v>
      </c>
      <c r="Q393">
        <v>4.4749999999999996</v>
      </c>
    </row>
    <row r="394" spans="4:18" x14ac:dyDescent="0.3">
      <c r="D394">
        <v>396</v>
      </c>
      <c r="E394">
        <v>4.1500000000000004</v>
      </c>
      <c r="G394">
        <v>396</v>
      </c>
      <c r="H394">
        <v>4.34</v>
      </c>
      <c r="J394">
        <v>396</v>
      </c>
      <c r="K394">
        <v>4.7300000000000004</v>
      </c>
      <c r="M394">
        <v>481</v>
      </c>
      <c r="N394">
        <v>5.17</v>
      </c>
      <c r="P394">
        <v>482</v>
      </c>
      <c r="Q394">
        <v>4.4749999999999996</v>
      </c>
    </row>
    <row r="395" spans="4:18" x14ac:dyDescent="0.3">
      <c r="D395">
        <v>397</v>
      </c>
      <c r="E395">
        <v>4.1500000000000004</v>
      </c>
      <c r="G395">
        <v>397</v>
      </c>
      <c r="H395">
        <v>4.34</v>
      </c>
      <c r="J395">
        <v>397</v>
      </c>
      <c r="K395">
        <v>4.7300000000000004</v>
      </c>
      <c r="M395">
        <v>482</v>
      </c>
      <c r="N395">
        <v>5.17</v>
      </c>
      <c r="P395">
        <v>483</v>
      </c>
      <c r="Q395">
        <v>4.4749999999999996</v>
      </c>
    </row>
    <row r="396" spans="4:18" x14ac:dyDescent="0.3">
      <c r="D396">
        <v>398</v>
      </c>
      <c r="E396">
        <v>4.1500000000000004</v>
      </c>
      <c r="G396">
        <v>398</v>
      </c>
      <c r="H396">
        <v>4.34</v>
      </c>
      <c r="J396">
        <v>398</v>
      </c>
      <c r="K396">
        <v>4.7300000000000004</v>
      </c>
      <c r="M396">
        <v>483</v>
      </c>
      <c r="N396">
        <v>5.17</v>
      </c>
      <c r="P396">
        <v>484</v>
      </c>
      <c r="Q396">
        <v>4.4749999999999996</v>
      </c>
    </row>
    <row r="397" spans="4:18" x14ac:dyDescent="0.3">
      <c r="D397">
        <v>399</v>
      </c>
      <c r="E397">
        <v>4.1500000000000004</v>
      </c>
      <c r="G397">
        <v>399</v>
      </c>
      <c r="H397">
        <v>4.34</v>
      </c>
      <c r="J397">
        <v>399</v>
      </c>
      <c r="K397">
        <v>4.7300000000000004</v>
      </c>
      <c r="M397">
        <v>484</v>
      </c>
      <c r="N397">
        <v>5.17</v>
      </c>
      <c r="P397">
        <v>485</v>
      </c>
      <c r="Q397">
        <v>4.5949999999999998</v>
      </c>
      <c r="R397">
        <v>5.4999999999999997E-3</v>
      </c>
    </row>
    <row r="398" spans="4:18" x14ac:dyDescent="0.3">
      <c r="D398">
        <v>400</v>
      </c>
      <c r="E398">
        <v>4.1500000000000004</v>
      </c>
      <c r="G398">
        <v>400</v>
      </c>
      <c r="H398">
        <v>4.34</v>
      </c>
      <c r="J398">
        <v>400</v>
      </c>
      <c r="K398">
        <v>4.7300000000000004</v>
      </c>
      <c r="M398">
        <v>485</v>
      </c>
      <c r="N398">
        <v>5.17</v>
      </c>
      <c r="P398">
        <v>486</v>
      </c>
      <c r="Q398">
        <v>4.5975000000000001</v>
      </c>
    </row>
    <row r="399" spans="4:18" x14ac:dyDescent="0.3">
      <c r="D399">
        <v>401</v>
      </c>
      <c r="E399">
        <v>4.1500000000000004</v>
      </c>
      <c r="G399">
        <v>401</v>
      </c>
      <c r="H399">
        <v>4.34</v>
      </c>
      <c r="J399">
        <v>401</v>
      </c>
      <c r="K399">
        <v>4.7300000000000004</v>
      </c>
      <c r="M399">
        <v>486</v>
      </c>
      <c r="N399">
        <v>5.17</v>
      </c>
      <c r="P399">
        <v>487</v>
      </c>
      <c r="Q399">
        <v>4.5999999999999996</v>
      </c>
    </row>
    <row r="400" spans="4:18" x14ac:dyDescent="0.3">
      <c r="D400">
        <v>402</v>
      </c>
      <c r="E400">
        <v>4.2</v>
      </c>
      <c r="G400">
        <v>402</v>
      </c>
      <c r="H400">
        <v>4.3899999999999997</v>
      </c>
      <c r="I400">
        <v>4.4999999999999997E-3</v>
      </c>
      <c r="J400">
        <v>402</v>
      </c>
      <c r="K400">
        <v>4.78</v>
      </c>
      <c r="L400">
        <v>4.4999999999999997E-3</v>
      </c>
      <c r="M400">
        <v>487</v>
      </c>
      <c r="N400">
        <v>5.17</v>
      </c>
      <c r="P400">
        <v>488</v>
      </c>
      <c r="Q400">
        <v>4.6025</v>
      </c>
    </row>
    <row r="401" spans="4:18" x14ac:dyDescent="0.3">
      <c r="D401">
        <v>403</v>
      </c>
      <c r="E401">
        <v>4.2</v>
      </c>
      <c r="G401">
        <v>403</v>
      </c>
      <c r="H401">
        <v>4.3899999999999997</v>
      </c>
      <c r="J401">
        <v>403</v>
      </c>
      <c r="K401">
        <v>4.78</v>
      </c>
      <c r="M401">
        <v>488</v>
      </c>
      <c r="N401">
        <v>5.17</v>
      </c>
      <c r="P401">
        <v>489</v>
      </c>
      <c r="Q401">
        <v>4.6050000000000004</v>
      </c>
    </row>
    <row r="402" spans="4:18" x14ac:dyDescent="0.3">
      <c r="D402">
        <v>404</v>
      </c>
      <c r="E402">
        <v>4.2</v>
      </c>
      <c r="G402">
        <v>404</v>
      </c>
      <c r="H402">
        <v>4.3899999999999997</v>
      </c>
      <c r="J402">
        <v>404</v>
      </c>
      <c r="K402">
        <v>4.78</v>
      </c>
      <c r="M402">
        <v>489</v>
      </c>
      <c r="N402">
        <v>5.17</v>
      </c>
      <c r="P402">
        <v>490</v>
      </c>
      <c r="Q402">
        <v>4.6074999999999999</v>
      </c>
    </row>
    <row r="403" spans="4:18" x14ac:dyDescent="0.3">
      <c r="D403">
        <v>405</v>
      </c>
      <c r="E403">
        <v>4.2</v>
      </c>
      <c r="G403">
        <v>405</v>
      </c>
      <c r="H403">
        <v>4.3899999999999997</v>
      </c>
      <c r="J403">
        <v>405</v>
      </c>
      <c r="K403">
        <v>4.78</v>
      </c>
      <c r="M403">
        <v>490</v>
      </c>
      <c r="N403">
        <v>5.17</v>
      </c>
      <c r="P403">
        <v>491</v>
      </c>
      <c r="Q403">
        <v>4.6100000000000003</v>
      </c>
    </row>
    <row r="404" spans="4:18" x14ac:dyDescent="0.3">
      <c r="D404">
        <v>406</v>
      </c>
      <c r="E404">
        <v>4.2</v>
      </c>
      <c r="G404">
        <v>406</v>
      </c>
      <c r="H404">
        <v>4.3899999999999997</v>
      </c>
      <c r="J404">
        <v>406</v>
      </c>
      <c r="K404">
        <v>4.78</v>
      </c>
      <c r="M404">
        <v>491</v>
      </c>
      <c r="N404">
        <v>5.17</v>
      </c>
      <c r="P404">
        <v>492</v>
      </c>
      <c r="Q404">
        <v>4.6124999999999998</v>
      </c>
    </row>
    <row r="405" spans="4:18" x14ac:dyDescent="0.3">
      <c r="D405">
        <v>407</v>
      </c>
      <c r="E405">
        <v>4.2</v>
      </c>
      <c r="G405">
        <v>407</v>
      </c>
      <c r="H405">
        <v>4.3899999999999997</v>
      </c>
      <c r="J405">
        <v>407</v>
      </c>
      <c r="K405">
        <v>4.78</v>
      </c>
      <c r="M405">
        <v>492</v>
      </c>
      <c r="N405">
        <v>5.17</v>
      </c>
      <c r="P405">
        <v>493</v>
      </c>
      <c r="Q405">
        <v>4.6150000000000002</v>
      </c>
    </row>
    <row r="406" spans="4:18" x14ac:dyDescent="0.3">
      <c r="D406">
        <v>408</v>
      </c>
      <c r="E406">
        <v>4.2</v>
      </c>
      <c r="G406">
        <v>408</v>
      </c>
      <c r="H406">
        <v>4.3899999999999997</v>
      </c>
      <c r="J406">
        <v>408</v>
      </c>
      <c r="K406">
        <v>4.78</v>
      </c>
      <c r="M406">
        <v>493</v>
      </c>
      <c r="N406">
        <v>5.17</v>
      </c>
      <c r="O406">
        <v>4.0000000000000001E-3</v>
      </c>
      <c r="P406">
        <v>494</v>
      </c>
      <c r="Q406">
        <v>4.6500000000000004</v>
      </c>
      <c r="R406">
        <v>4.4999999999999997E-3</v>
      </c>
    </row>
    <row r="407" spans="4:18" x14ac:dyDescent="0.3">
      <c r="D407">
        <v>409</v>
      </c>
      <c r="E407">
        <v>4.2</v>
      </c>
      <c r="G407">
        <v>409</v>
      </c>
      <c r="H407">
        <v>4.3899999999999997</v>
      </c>
      <c r="J407">
        <v>409</v>
      </c>
      <c r="K407">
        <v>4.78</v>
      </c>
      <c r="M407">
        <v>494</v>
      </c>
      <c r="N407">
        <v>5.42</v>
      </c>
      <c r="P407">
        <v>495</v>
      </c>
      <c r="Q407">
        <v>4.6500000000000004</v>
      </c>
    </row>
    <row r="408" spans="4:18" x14ac:dyDescent="0.3">
      <c r="D408">
        <v>410</v>
      </c>
      <c r="E408">
        <v>4.2</v>
      </c>
      <c r="G408">
        <v>410</v>
      </c>
      <c r="H408">
        <v>4.3899999999999997</v>
      </c>
      <c r="J408">
        <v>410</v>
      </c>
      <c r="K408">
        <v>4.78</v>
      </c>
      <c r="M408">
        <v>495</v>
      </c>
      <c r="N408">
        <v>5.42</v>
      </c>
      <c r="P408">
        <v>496</v>
      </c>
      <c r="Q408">
        <v>4.6500000000000004</v>
      </c>
    </row>
    <row r="409" spans="4:18" x14ac:dyDescent="0.3">
      <c r="D409">
        <v>411</v>
      </c>
      <c r="E409">
        <v>4.2</v>
      </c>
      <c r="G409">
        <v>411</v>
      </c>
      <c r="H409">
        <v>4.3899999999999997</v>
      </c>
      <c r="J409">
        <v>411</v>
      </c>
      <c r="K409">
        <v>4.78</v>
      </c>
      <c r="M409">
        <v>496</v>
      </c>
      <c r="N409">
        <v>5.42</v>
      </c>
      <c r="P409">
        <v>497</v>
      </c>
      <c r="Q409">
        <v>4.6500000000000004</v>
      </c>
    </row>
    <row r="410" spans="4:18" x14ac:dyDescent="0.3">
      <c r="D410">
        <v>412</v>
      </c>
      <c r="E410">
        <v>4.2</v>
      </c>
      <c r="G410">
        <v>412</v>
      </c>
      <c r="H410">
        <v>4.3899999999999997</v>
      </c>
      <c r="J410">
        <v>412</v>
      </c>
      <c r="K410">
        <v>4.78</v>
      </c>
      <c r="M410">
        <v>497</v>
      </c>
      <c r="N410">
        <v>5.42</v>
      </c>
      <c r="P410">
        <v>498</v>
      </c>
      <c r="Q410">
        <v>4.6500000000000004</v>
      </c>
    </row>
    <row r="411" spans="4:18" x14ac:dyDescent="0.3">
      <c r="D411">
        <v>413</v>
      </c>
      <c r="E411">
        <v>4.2</v>
      </c>
      <c r="G411">
        <v>413</v>
      </c>
      <c r="H411">
        <v>4.3899999999999997</v>
      </c>
      <c r="J411">
        <v>413</v>
      </c>
      <c r="K411">
        <v>4.78</v>
      </c>
      <c r="M411">
        <v>498</v>
      </c>
      <c r="N411">
        <v>5.42</v>
      </c>
      <c r="P411">
        <v>499</v>
      </c>
      <c r="Q411">
        <v>4.6500000000000004</v>
      </c>
    </row>
    <row r="412" spans="4:18" x14ac:dyDescent="0.3">
      <c r="D412">
        <v>414</v>
      </c>
      <c r="E412">
        <v>4.2</v>
      </c>
      <c r="G412">
        <v>414</v>
      </c>
      <c r="H412">
        <v>4.3899999999999997</v>
      </c>
      <c r="J412">
        <v>414</v>
      </c>
      <c r="K412">
        <v>4.78</v>
      </c>
      <c r="M412">
        <v>499</v>
      </c>
      <c r="N412">
        <v>5.42</v>
      </c>
      <c r="P412">
        <v>500</v>
      </c>
      <c r="Q412">
        <v>4.6500000000000004</v>
      </c>
    </row>
    <row r="413" spans="4:18" x14ac:dyDescent="0.3">
      <c r="D413">
        <v>415</v>
      </c>
      <c r="E413">
        <v>4.2</v>
      </c>
      <c r="G413">
        <v>415</v>
      </c>
      <c r="H413">
        <v>4.3899999999999997</v>
      </c>
      <c r="J413">
        <v>415</v>
      </c>
      <c r="K413">
        <v>4.78</v>
      </c>
      <c r="M413">
        <v>500</v>
      </c>
      <c r="N413">
        <v>5.42</v>
      </c>
      <c r="P413">
        <v>501</v>
      </c>
      <c r="Q413">
        <v>4.6500000000000004</v>
      </c>
    </row>
    <row r="414" spans="4:18" x14ac:dyDescent="0.3">
      <c r="D414">
        <v>416</v>
      </c>
      <c r="E414">
        <v>4.2</v>
      </c>
      <c r="G414">
        <v>416</v>
      </c>
      <c r="H414">
        <v>4.3899999999999997</v>
      </c>
      <c r="J414">
        <v>416</v>
      </c>
      <c r="K414">
        <v>4.78</v>
      </c>
      <c r="M414">
        <v>501</v>
      </c>
      <c r="N414">
        <v>5.42</v>
      </c>
      <c r="P414">
        <v>502</v>
      </c>
      <c r="Q414">
        <v>4.6500000000000004</v>
      </c>
    </row>
    <row r="415" spans="4:18" x14ac:dyDescent="0.3">
      <c r="D415">
        <v>417</v>
      </c>
      <c r="E415">
        <v>4.2</v>
      </c>
      <c r="G415">
        <v>417</v>
      </c>
      <c r="H415">
        <v>4.3899999999999997</v>
      </c>
      <c r="J415">
        <v>417</v>
      </c>
      <c r="K415">
        <v>4.78</v>
      </c>
      <c r="M415">
        <v>502</v>
      </c>
      <c r="N415">
        <v>5.42</v>
      </c>
      <c r="P415">
        <v>503</v>
      </c>
      <c r="Q415">
        <v>4.6950000000000003</v>
      </c>
      <c r="R415">
        <v>4.4999999999999997E-3</v>
      </c>
    </row>
    <row r="416" spans="4:18" x14ac:dyDescent="0.3">
      <c r="D416">
        <v>418</v>
      </c>
      <c r="E416">
        <v>4.2</v>
      </c>
      <c r="G416">
        <v>418</v>
      </c>
      <c r="H416">
        <v>4.3899999999999997</v>
      </c>
      <c r="J416">
        <v>418</v>
      </c>
      <c r="K416">
        <v>4.78</v>
      </c>
      <c r="M416">
        <v>503</v>
      </c>
      <c r="N416">
        <v>5.42</v>
      </c>
      <c r="P416">
        <v>504</v>
      </c>
      <c r="Q416">
        <v>4.6950000000000003</v>
      </c>
    </row>
    <row r="417" spans="4:18" x14ac:dyDescent="0.3">
      <c r="D417">
        <v>419</v>
      </c>
      <c r="E417">
        <v>4.2</v>
      </c>
      <c r="G417">
        <v>419</v>
      </c>
      <c r="H417">
        <v>4.3899999999999997</v>
      </c>
      <c r="J417">
        <v>419</v>
      </c>
      <c r="K417">
        <v>4.78</v>
      </c>
      <c r="M417">
        <v>504</v>
      </c>
      <c r="N417">
        <v>5.42</v>
      </c>
      <c r="P417">
        <v>505</v>
      </c>
      <c r="Q417">
        <v>4.6950000000000003</v>
      </c>
    </row>
    <row r="418" spans="4:18" x14ac:dyDescent="0.3">
      <c r="D418">
        <v>420</v>
      </c>
      <c r="E418">
        <v>4.2</v>
      </c>
      <c r="G418">
        <v>420</v>
      </c>
      <c r="H418">
        <v>4.3899999999999997</v>
      </c>
      <c r="J418">
        <v>420</v>
      </c>
      <c r="K418">
        <v>4.78</v>
      </c>
      <c r="M418">
        <v>505</v>
      </c>
      <c r="N418">
        <v>5.42</v>
      </c>
      <c r="P418">
        <v>506</v>
      </c>
      <c r="Q418">
        <v>4.6950000000000003</v>
      </c>
    </row>
    <row r="419" spans="4:18" x14ac:dyDescent="0.3">
      <c r="D419">
        <v>421</v>
      </c>
      <c r="E419">
        <v>4.29</v>
      </c>
      <c r="G419">
        <v>421</v>
      </c>
      <c r="H419">
        <v>4.4800000000000004</v>
      </c>
      <c r="I419">
        <v>5.4999999999999997E-3</v>
      </c>
      <c r="J419">
        <v>421</v>
      </c>
      <c r="K419">
        <v>4.87</v>
      </c>
      <c r="L419">
        <v>5.4999999999999997E-3</v>
      </c>
      <c r="M419">
        <v>506</v>
      </c>
      <c r="N419">
        <v>5.42</v>
      </c>
      <c r="P419">
        <v>507</v>
      </c>
      <c r="Q419">
        <v>4.6950000000000003</v>
      </c>
    </row>
    <row r="420" spans="4:18" x14ac:dyDescent="0.3">
      <c r="D420">
        <v>422</v>
      </c>
      <c r="E420">
        <v>4.29</v>
      </c>
      <c r="G420">
        <v>422</v>
      </c>
      <c r="H420">
        <v>4.4800000000000004</v>
      </c>
      <c r="J420">
        <v>422</v>
      </c>
      <c r="K420">
        <v>4.87</v>
      </c>
      <c r="M420">
        <v>507</v>
      </c>
      <c r="N420">
        <v>5.42</v>
      </c>
      <c r="P420">
        <v>508</v>
      </c>
      <c r="Q420">
        <v>4.6950000000000003</v>
      </c>
    </row>
    <row r="421" spans="4:18" x14ac:dyDescent="0.3">
      <c r="D421">
        <v>423</v>
      </c>
      <c r="E421">
        <v>4.29</v>
      </c>
      <c r="G421">
        <v>423</v>
      </c>
      <c r="H421">
        <v>4.4800000000000004</v>
      </c>
      <c r="J421">
        <v>423</v>
      </c>
      <c r="K421">
        <v>4.87</v>
      </c>
      <c r="M421">
        <v>508</v>
      </c>
      <c r="N421">
        <v>5.42</v>
      </c>
      <c r="P421">
        <v>509</v>
      </c>
      <c r="Q421">
        <v>4.6950000000000003</v>
      </c>
    </row>
    <row r="422" spans="4:18" x14ac:dyDescent="0.3">
      <c r="D422">
        <v>424</v>
      </c>
      <c r="E422">
        <v>4.29</v>
      </c>
      <c r="G422">
        <v>424</v>
      </c>
      <c r="H422">
        <v>4.4800000000000004</v>
      </c>
      <c r="J422">
        <v>424</v>
      </c>
      <c r="K422">
        <v>4.87</v>
      </c>
      <c r="M422">
        <v>509</v>
      </c>
      <c r="N422">
        <v>5.42</v>
      </c>
      <c r="P422">
        <v>510</v>
      </c>
      <c r="Q422">
        <v>4.6950000000000003</v>
      </c>
    </row>
    <row r="423" spans="4:18" x14ac:dyDescent="0.3">
      <c r="D423">
        <v>425</v>
      </c>
      <c r="E423">
        <v>4.29</v>
      </c>
      <c r="G423">
        <v>425</v>
      </c>
      <c r="H423">
        <v>4.4800000000000004</v>
      </c>
      <c r="J423">
        <v>425</v>
      </c>
      <c r="K423">
        <v>4.87</v>
      </c>
      <c r="M423">
        <v>510</v>
      </c>
      <c r="N423">
        <v>5.42</v>
      </c>
      <c r="P423">
        <v>511</v>
      </c>
      <c r="Q423">
        <v>4.6950000000000003</v>
      </c>
    </row>
    <row r="424" spans="4:18" x14ac:dyDescent="0.3">
      <c r="D424">
        <v>426</v>
      </c>
      <c r="E424">
        <v>4.29</v>
      </c>
      <c r="G424">
        <v>426</v>
      </c>
      <c r="H424">
        <v>4.4800000000000004</v>
      </c>
      <c r="J424">
        <v>426</v>
      </c>
      <c r="K424">
        <v>4.87</v>
      </c>
      <c r="M424">
        <v>511</v>
      </c>
      <c r="N424">
        <v>5.42</v>
      </c>
      <c r="O424">
        <v>2.5000000000000001E-3</v>
      </c>
      <c r="P424">
        <v>512</v>
      </c>
      <c r="Q424">
        <v>4.74</v>
      </c>
      <c r="R424">
        <v>2.5000000000000001E-3</v>
      </c>
    </row>
    <row r="425" spans="4:18" x14ac:dyDescent="0.3">
      <c r="D425">
        <v>427</v>
      </c>
      <c r="E425">
        <v>4.29</v>
      </c>
      <c r="G425">
        <v>427</v>
      </c>
      <c r="H425">
        <v>4.4800000000000004</v>
      </c>
      <c r="J425">
        <v>427</v>
      </c>
      <c r="K425">
        <v>4.87</v>
      </c>
      <c r="M425">
        <v>512</v>
      </c>
      <c r="N425">
        <v>5.5</v>
      </c>
      <c r="P425">
        <v>513</v>
      </c>
      <c r="Q425">
        <v>4.74</v>
      </c>
    </row>
    <row r="426" spans="4:18" x14ac:dyDescent="0.3">
      <c r="D426">
        <v>428</v>
      </c>
      <c r="E426">
        <v>4.29</v>
      </c>
      <c r="G426">
        <v>428</v>
      </c>
      <c r="H426">
        <v>4.4800000000000004</v>
      </c>
      <c r="J426">
        <v>428</v>
      </c>
      <c r="K426">
        <v>4.87</v>
      </c>
      <c r="M426">
        <v>513</v>
      </c>
      <c r="N426">
        <v>5.5</v>
      </c>
      <c r="P426">
        <v>514</v>
      </c>
      <c r="Q426">
        <v>4.74</v>
      </c>
    </row>
    <row r="427" spans="4:18" x14ac:dyDescent="0.3">
      <c r="D427">
        <v>429</v>
      </c>
      <c r="E427">
        <v>4.29</v>
      </c>
      <c r="G427">
        <v>429</v>
      </c>
      <c r="H427">
        <v>4.4800000000000004</v>
      </c>
      <c r="J427">
        <v>429</v>
      </c>
      <c r="K427">
        <v>4.87</v>
      </c>
      <c r="M427">
        <v>514</v>
      </c>
      <c r="N427">
        <v>5.5</v>
      </c>
      <c r="P427">
        <v>515</v>
      </c>
      <c r="Q427">
        <v>4.74</v>
      </c>
    </row>
    <row r="428" spans="4:18" x14ac:dyDescent="0.3">
      <c r="D428">
        <v>430</v>
      </c>
      <c r="E428">
        <v>4.29</v>
      </c>
      <c r="G428">
        <v>430</v>
      </c>
      <c r="H428">
        <v>4.4800000000000004</v>
      </c>
      <c r="J428">
        <v>430</v>
      </c>
      <c r="K428">
        <v>4.87</v>
      </c>
      <c r="M428">
        <v>515</v>
      </c>
      <c r="N428">
        <v>5.5</v>
      </c>
      <c r="P428">
        <v>516</v>
      </c>
      <c r="Q428">
        <v>4.74</v>
      </c>
    </row>
    <row r="429" spans="4:18" x14ac:dyDescent="0.3">
      <c r="D429">
        <v>431</v>
      </c>
      <c r="E429">
        <v>4.29</v>
      </c>
      <c r="G429">
        <v>431</v>
      </c>
      <c r="H429">
        <v>4.4800000000000004</v>
      </c>
      <c r="J429">
        <v>431</v>
      </c>
      <c r="K429">
        <v>4.87</v>
      </c>
      <c r="M429">
        <v>516</v>
      </c>
      <c r="N429">
        <v>5.5</v>
      </c>
      <c r="P429">
        <v>517</v>
      </c>
      <c r="Q429">
        <v>4.74</v>
      </c>
    </row>
    <row r="430" spans="4:18" x14ac:dyDescent="0.3">
      <c r="D430">
        <v>432</v>
      </c>
      <c r="E430">
        <v>4.29</v>
      </c>
      <c r="G430">
        <v>432</v>
      </c>
      <c r="H430">
        <v>4.4800000000000004</v>
      </c>
      <c r="J430">
        <v>432</v>
      </c>
      <c r="K430">
        <v>4.87</v>
      </c>
      <c r="M430">
        <v>517</v>
      </c>
      <c r="N430">
        <v>5.5</v>
      </c>
      <c r="P430">
        <v>518</v>
      </c>
      <c r="Q430">
        <v>4.74</v>
      </c>
    </row>
    <row r="431" spans="4:18" x14ac:dyDescent="0.3">
      <c r="D431">
        <v>433</v>
      </c>
      <c r="E431">
        <v>4.29</v>
      </c>
      <c r="G431">
        <v>433</v>
      </c>
      <c r="H431">
        <v>4.4800000000000004</v>
      </c>
      <c r="J431">
        <v>433</v>
      </c>
      <c r="K431">
        <v>4.87</v>
      </c>
      <c r="M431">
        <v>518</v>
      </c>
      <c r="N431">
        <v>5.5</v>
      </c>
      <c r="P431">
        <v>519</v>
      </c>
      <c r="Q431">
        <v>4.74</v>
      </c>
    </row>
    <row r="432" spans="4:18" x14ac:dyDescent="0.3">
      <c r="D432">
        <v>434</v>
      </c>
      <c r="E432">
        <v>4.29</v>
      </c>
      <c r="G432">
        <v>434</v>
      </c>
      <c r="H432">
        <v>4.4800000000000004</v>
      </c>
      <c r="J432">
        <v>434</v>
      </c>
      <c r="K432">
        <v>4.87</v>
      </c>
      <c r="M432">
        <v>519</v>
      </c>
      <c r="N432">
        <v>5.5</v>
      </c>
      <c r="P432">
        <v>520</v>
      </c>
      <c r="Q432">
        <v>4.74</v>
      </c>
    </row>
    <row r="433" spans="4:18" x14ac:dyDescent="0.3">
      <c r="D433">
        <v>435</v>
      </c>
      <c r="E433">
        <v>4.29</v>
      </c>
      <c r="G433">
        <v>435</v>
      </c>
      <c r="H433">
        <v>4.4800000000000004</v>
      </c>
      <c r="J433">
        <v>435</v>
      </c>
      <c r="K433">
        <v>4.87</v>
      </c>
      <c r="M433">
        <v>520</v>
      </c>
      <c r="N433">
        <v>5.5</v>
      </c>
      <c r="P433">
        <v>521</v>
      </c>
      <c r="Q433">
        <v>4.7649999999999997</v>
      </c>
      <c r="R433">
        <v>2.5000000000000001E-3</v>
      </c>
    </row>
    <row r="434" spans="4:18" x14ac:dyDescent="0.3">
      <c r="D434">
        <v>436</v>
      </c>
      <c r="E434">
        <v>4.29</v>
      </c>
      <c r="G434">
        <v>436</v>
      </c>
      <c r="H434">
        <v>4.4800000000000004</v>
      </c>
      <c r="J434">
        <v>436</v>
      </c>
      <c r="K434">
        <v>4.87</v>
      </c>
      <c r="M434">
        <v>521</v>
      </c>
      <c r="N434">
        <v>5.5</v>
      </c>
      <c r="P434">
        <v>522</v>
      </c>
      <c r="Q434">
        <v>4.7649999999999997</v>
      </c>
    </row>
    <row r="435" spans="4:18" x14ac:dyDescent="0.3">
      <c r="D435">
        <v>437</v>
      </c>
      <c r="E435">
        <v>4.29</v>
      </c>
      <c r="G435">
        <v>437</v>
      </c>
      <c r="H435">
        <v>4.4800000000000004</v>
      </c>
      <c r="J435">
        <v>437</v>
      </c>
      <c r="K435">
        <v>4.87</v>
      </c>
      <c r="M435">
        <v>522</v>
      </c>
      <c r="N435">
        <v>5.5</v>
      </c>
      <c r="P435">
        <v>523</v>
      </c>
      <c r="Q435">
        <v>4.7649999999999997</v>
      </c>
    </row>
    <row r="436" spans="4:18" x14ac:dyDescent="0.3">
      <c r="D436">
        <v>438</v>
      </c>
      <c r="E436">
        <v>4.29</v>
      </c>
      <c r="G436">
        <v>438</v>
      </c>
      <c r="H436">
        <v>4.4800000000000004</v>
      </c>
      <c r="J436">
        <v>438</v>
      </c>
      <c r="K436">
        <v>4.87</v>
      </c>
      <c r="M436">
        <v>523</v>
      </c>
      <c r="N436">
        <v>5.5</v>
      </c>
      <c r="P436">
        <v>524</v>
      </c>
      <c r="Q436">
        <v>4.7649999999999997</v>
      </c>
    </row>
    <row r="437" spans="4:18" x14ac:dyDescent="0.3">
      <c r="D437">
        <v>439</v>
      </c>
      <c r="E437">
        <v>4.4000000000000004</v>
      </c>
      <c r="G437">
        <v>439</v>
      </c>
      <c r="H437">
        <v>4.59</v>
      </c>
      <c r="I437">
        <v>6.4999999999999997E-3</v>
      </c>
      <c r="J437">
        <v>439</v>
      </c>
      <c r="K437">
        <v>4.9800000000000004</v>
      </c>
      <c r="L437">
        <v>6.4999999999999997E-3</v>
      </c>
      <c r="M437">
        <v>524</v>
      </c>
      <c r="N437">
        <v>5.5</v>
      </c>
      <c r="P437">
        <v>525</v>
      </c>
      <c r="Q437">
        <v>4.7649999999999997</v>
      </c>
    </row>
    <row r="438" spans="4:18" x14ac:dyDescent="0.3">
      <c r="D438">
        <v>440</v>
      </c>
      <c r="E438">
        <v>4.4000000000000004</v>
      </c>
      <c r="G438">
        <v>440</v>
      </c>
      <c r="H438">
        <v>4.59</v>
      </c>
      <c r="J438">
        <v>440</v>
      </c>
      <c r="K438">
        <v>4.9800000000000004</v>
      </c>
      <c r="M438">
        <v>525</v>
      </c>
      <c r="N438">
        <v>5.5</v>
      </c>
      <c r="P438">
        <v>526</v>
      </c>
      <c r="Q438">
        <v>4.7649999999999997</v>
      </c>
    </row>
    <row r="439" spans="4:18" x14ac:dyDescent="0.3">
      <c r="D439">
        <v>441</v>
      </c>
      <c r="E439">
        <v>4.4000000000000004</v>
      </c>
      <c r="G439">
        <v>441</v>
      </c>
      <c r="H439">
        <v>4.59</v>
      </c>
      <c r="J439">
        <v>441</v>
      </c>
      <c r="K439">
        <v>4.9800000000000004</v>
      </c>
      <c r="M439">
        <v>526</v>
      </c>
      <c r="N439">
        <v>5.5</v>
      </c>
      <c r="P439">
        <v>527</v>
      </c>
      <c r="Q439">
        <v>4.7649999999999997</v>
      </c>
    </row>
    <row r="440" spans="4:18" x14ac:dyDescent="0.3">
      <c r="D440">
        <v>442</v>
      </c>
      <c r="E440">
        <v>4.4000000000000004</v>
      </c>
      <c r="G440">
        <v>442</v>
      </c>
      <c r="H440">
        <v>4.59</v>
      </c>
      <c r="J440">
        <v>442</v>
      </c>
      <c r="K440">
        <v>4.9800000000000004</v>
      </c>
      <c r="M440">
        <v>527</v>
      </c>
      <c r="N440">
        <v>5.5</v>
      </c>
      <c r="P440">
        <v>528</v>
      </c>
      <c r="Q440">
        <v>4.7649999999999997</v>
      </c>
    </row>
    <row r="441" spans="4:18" x14ac:dyDescent="0.3">
      <c r="D441">
        <v>443</v>
      </c>
      <c r="E441">
        <v>4.4000000000000004</v>
      </c>
      <c r="G441">
        <v>443</v>
      </c>
      <c r="H441">
        <v>4.59</v>
      </c>
      <c r="J441">
        <v>443</v>
      </c>
      <c r="K441">
        <v>4.9800000000000004</v>
      </c>
      <c r="M441">
        <v>528</v>
      </c>
      <c r="N441">
        <v>5.5</v>
      </c>
      <c r="P441">
        <v>529</v>
      </c>
      <c r="Q441">
        <v>4.7649999999999997</v>
      </c>
    </row>
    <row r="442" spans="4:18" x14ac:dyDescent="0.3">
      <c r="D442">
        <v>444</v>
      </c>
      <c r="E442">
        <v>4.4000000000000004</v>
      </c>
      <c r="G442">
        <v>444</v>
      </c>
      <c r="H442">
        <v>4.59</v>
      </c>
      <c r="J442">
        <v>444</v>
      </c>
      <c r="K442">
        <v>4.9800000000000004</v>
      </c>
      <c r="M442">
        <v>529</v>
      </c>
      <c r="N442">
        <v>5.5</v>
      </c>
      <c r="O442">
        <v>-0.27750000000000002</v>
      </c>
      <c r="P442">
        <v>530</v>
      </c>
      <c r="Q442">
        <v>4.79</v>
      </c>
      <c r="R442">
        <v>0</v>
      </c>
    </row>
    <row r="443" spans="4:18" x14ac:dyDescent="0.3">
      <c r="D443">
        <v>445</v>
      </c>
      <c r="E443">
        <v>4.4000000000000004</v>
      </c>
      <c r="G443">
        <v>445</v>
      </c>
      <c r="H443">
        <v>4.59</v>
      </c>
      <c r="J443">
        <v>445</v>
      </c>
      <c r="K443">
        <v>4.9800000000000004</v>
      </c>
      <c r="M443">
        <v>530</v>
      </c>
      <c r="N443">
        <v>5.55</v>
      </c>
      <c r="P443">
        <v>531</v>
      </c>
      <c r="Q443">
        <v>4.79</v>
      </c>
    </row>
    <row r="444" spans="4:18" x14ac:dyDescent="0.3">
      <c r="D444">
        <v>446</v>
      </c>
      <c r="E444">
        <v>4.4000000000000004</v>
      </c>
      <c r="G444">
        <v>446</v>
      </c>
      <c r="H444">
        <v>4.59</v>
      </c>
      <c r="J444">
        <v>446</v>
      </c>
      <c r="K444">
        <v>4.9800000000000004</v>
      </c>
      <c r="M444">
        <v>531</v>
      </c>
      <c r="N444">
        <v>5.55</v>
      </c>
      <c r="P444">
        <v>532</v>
      </c>
      <c r="Q444">
        <v>4.79</v>
      </c>
    </row>
    <row r="445" spans="4:18" x14ac:dyDescent="0.3">
      <c r="D445">
        <v>447</v>
      </c>
      <c r="E445">
        <v>4.4000000000000004</v>
      </c>
      <c r="G445">
        <v>447</v>
      </c>
      <c r="H445">
        <v>4.59</v>
      </c>
      <c r="J445">
        <v>447</v>
      </c>
      <c r="K445">
        <v>4.9800000000000004</v>
      </c>
      <c r="M445">
        <v>532</v>
      </c>
      <c r="N445">
        <v>5.55</v>
      </c>
      <c r="P445">
        <v>533</v>
      </c>
      <c r="Q445">
        <v>4.79</v>
      </c>
    </row>
    <row r="446" spans="4:18" x14ac:dyDescent="0.3">
      <c r="D446">
        <v>448</v>
      </c>
      <c r="E446">
        <v>4.4000000000000004</v>
      </c>
      <c r="G446">
        <v>448</v>
      </c>
      <c r="H446">
        <v>4.59</v>
      </c>
      <c r="J446">
        <v>448</v>
      </c>
      <c r="K446">
        <v>4.9800000000000004</v>
      </c>
      <c r="M446">
        <v>533</v>
      </c>
      <c r="N446">
        <v>5.55</v>
      </c>
      <c r="P446">
        <v>534</v>
      </c>
      <c r="Q446">
        <v>4.79</v>
      </c>
    </row>
    <row r="447" spans="4:18" x14ac:dyDescent="0.3">
      <c r="D447">
        <v>449</v>
      </c>
      <c r="E447">
        <v>4.4000000000000004</v>
      </c>
      <c r="G447">
        <v>449</v>
      </c>
      <c r="H447">
        <v>4.59</v>
      </c>
      <c r="J447">
        <v>449</v>
      </c>
      <c r="K447">
        <v>4.9800000000000004</v>
      </c>
      <c r="M447">
        <v>534</v>
      </c>
      <c r="N447">
        <v>5.55</v>
      </c>
      <c r="P447">
        <v>535</v>
      </c>
      <c r="Q447">
        <v>4.79</v>
      </c>
    </row>
    <row r="448" spans="4:18" x14ac:dyDescent="0.3">
      <c r="D448">
        <v>450</v>
      </c>
      <c r="E448">
        <v>4.4000000000000004</v>
      </c>
      <c r="G448">
        <v>450</v>
      </c>
      <c r="H448">
        <v>4.59</v>
      </c>
      <c r="J448">
        <v>450</v>
      </c>
      <c r="K448">
        <v>4.9800000000000004</v>
      </c>
      <c r="M448">
        <v>535</v>
      </c>
      <c r="N448">
        <v>5.55</v>
      </c>
      <c r="P448">
        <v>536</v>
      </c>
      <c r="Q448">
        <v>4.79</v>
      </c>
    </row>
    <row r="449" spans="4:17" x14ac:dyDescent="0.3">
      <c r="D449">
        <v>451</v>
      </c>
      <c r="E449">
        <v>4.4000000000000004</v>
      </c>
      <c r="G449">
        <v>451</v>
      </c>
      <c r="H449">
        <v>4.59</v>
      </c>
      <c r="J449">
        <v>451</v>
      </c>
      <c r="K449">
        <v>4.9800000000000004</v>
      </c>
      <c r="M449">
        <v>536</v>
      </c>
      <c r="N449">
        <v>5.55</v>
      </c>
      <c r="P449">
        <v>537</v>
      </c>
      <c r="Q449">
        <v>4.79</v>
      </c>
    </row>
    <row r="450" spans="4:17" x14ac:dyDescent="0.3">
      <c r="D450">
        <v>452</v>
      </c>
      <c r="E450">
        <v>4.4000000000000004</v>
      </c>
      <c r="G450">
        <v>452</v>
      </c>
      <c r="H450">
        <v>4.59</v>
      </c>
      <c r="J450">
        <v>452</v>
      </c>
      <c r="K450">
        <v>4.9800000000000004</v>
      </c>
      <c r="M450">
        <v>537</v>
      </c>
      <c r="N450">
        <v>5.55</v>
      </c>
      <c r="P450">
        <v>538</v>
      </c>
      <c r="Q450">
        <v>4.79</v>
      </c>
    </row>
    <row r="451" spans="4:17" x14ac:dyDescent="0.3">
      <c r="D451">
        <v>453</v>
      </c>
      <c r="E451">
        <v>4.4000000000000004</v>
      </c>
      <c r="G451">
        <v>453</v>
      </c>
      <c r="H451">
        <v>4.59</v>
      </c>
      <c r="J451">
        <v>453</v>
      </c>
      <c r="K451">
        <v>4.9800000000000004</v>
      </c>
      <c r="M451">
        <v>538</v>
      </c>
      <c r="N451">
        <v>5.55</v>
      </c>
      <c r="P451">
        <v>539</v>
      </c>
      <c r="Q451">
        <v>4.79</v>
      </c>
    </row>
    <row r="452" spans="4:17" x14ac:dyDescent="0.3">
      <c r="D452">
        <v>454</v>
      </c>
      <c r="E452">
        <v>4.4000000000000004</v>
      </c>
      <c r="G452">
        <v>454</v>
      </c>
      <c r="H452">
        <v>4.59</v>
      </c>
      <c r="J452">
        <v>454</v>
      </c>
      <c r="K452">
        <v>4.9800000000000004</v>
      </c>
      <c r="M452">
        <v>539</v>
      </c>
      <c r="N452">
        <v>5.55</v>
      </c>
      <c r="P452">
        <v>540</v>
      </c>
      <c r="Q452">
        <v>4.79</v>
      </c>
    </row>
    <row r="453" spans="4:17" x14ac:dyDescent="0.3">
      <c r="D453">
        <v>455</v>
      </c>
      <c r="E453">
        <v>4.4000000000000004</v>
      </c>
      <c r="G453">
        <v>455</v>
      </c>
      <c r="H453">
        <v>4.59</v>
      </c>
      <c r="J453">
        <v>455</v>
      </c>
      <c r="K453">
        <v>4.9800000000000004</v>
      </c>
      <c r="M453">
        <v>540</v>
      </c>
      <c r="N453">
        <v>5.55</v>
      </c>
      <c r="P453">
        <v>541</v>
      </c>
      <c r="Q453">
        <v>4.79</v>
      </c>
    </row>
    <row r="454" spans="4:17" x14ac:dyDescent="0.3">
      <c r="D454">
        <v>456</v>
      </c>
      <c r="E454">
        <v>4.4000000000000004</v>
      </c>
      <c r="G454">
        <v>456</v>
      </c>
      <c r="H454">
        <v>4.59</v>
      </c>
      <c r="J454">
        <v>456</v>
      </c>
      <c r="K454">
        <v>4.9800000000000004</v>
      </c>
      <c r="M454">
        <v>541</v>
      </c>
      <c r="N454">
        <v>5.55</v>
      </c>
      <c r="P454">
        <v>542</v>
      </c>
      <c r="Q454">
        <v>4.79</v>
      </c>
    </row>
    <row r="455" spans="4:17" x14ac:dyDescent="0.3">
      <c r="D455">
        <v>457</v>
      </c>
      <c r="E455">
        <v>4.53</v>
      </c>
      <c r="G455">
        <v>457</v>
      </c>
      <c r="H455">
        <v>4.72</v>
      </c>
      <c r="I455">
        <v>0</v>
      </c>
      <c r="J455">
        <v>457</v>
      </c>
      <c r="K455">
        <v>5.1100000000000003</v>
      </c>
      <c r="L455">
        <v>0</v>
      </c>
      <c r="M455">
        <v>542</v>
      </c>
      <c r="N455">
        <v>5.55</v>
      </c>
      <c r="P455">
        <v>543</v>
      </c>
      <c r="Q455">
        <v>4.79</v>
      </c>
    </row>
    <row r="456" spans="4:17" x14ac:dyDescent="0.3">
      <c r="D456">
        <v>458</v>
      </c>
      <c r="E456">
        <v>4.53</v>
      </c>
      <c r="G456">
        <v>458</v>
      </c>
      <c r="H456">
        <v>4.72</v>
      </c>
      <c r="J456">
        <v>458</v>
      </c>
      <c r="K456">
        <v>5.1100000000000003</v>
      </c>
      <c r="M456">
        <v>543</v>
      </c>
      <c r="N456">
        <v>5.55</v>
      </c>
      <c r="P456">
        <v>544</v>
      </c>
      <c r="Q456">
        <v>4.79</v>
      </c>
    </row>
    <row r="457" spans="4:17" x14ac:dyDescent="0.3">
      <c r="D457">
        <v>459</v>
      </c>
      <c r="E457">
        <v>4.53</v>
      </c>
      <c r="G457">
        <v>459</v>
      </c>
      <c r="H457">
        <v>4.72</v>
      </c>
      <c r="J457">
        <v>459</v>
      </c>
      <c r="K457">
        <v>5.1100000000000003</v>
      </c>
      <c r="M457">
        <v>544</v>
      </c>
      <c r="N457">
        <v>5.55</v>
      </c>
      <c r="P457">
        <v>545</v>
      </c>
      <c r="Q457">
        <v>4.79</v>
      </c>
    </row>
    <row r="458" spans="4:17" x14ac:dyDescent="0.3">
      <c r="D458">
        <v>460</v>
      </c>
      <c r="E458">
        <v>4.53</v>
      </c>
      <c r="G458">
        <v>460</v>
      </c>
      <c r="H458">
        <v>4.72</v>
      </c>
      <c r="J458">
        <v>460</v>
      </c>
      <c r="K458">
        <v>5.1100000000000003</v>
      </c>
      <c r="M458">
        <v>545</v>
      </c>
      <c r="N458">
        <v>5.55</v>
      </c>
      <c r="P458">
        <v>546</v>
      </c>
      <c r="Q458">
        <v>4.79</v>
      </c>
    </row>
    <row r="459" spans="4:17" x14ac:dyDescent="0.3">
      <c r="D459">
        <v>461</v>
      </c>
      <c r="E459">
        <v>4.53</v>
      </c>
      <c r="G459">
        <v>461</v>
      </c>
      <c r="H459">
        <v>4.72</v>
      </c>
      <c r="J459">
        <v>461</v>
      </c>
      <c r="K459">
        <v>5.1100000000000003</v>
      </c>
      <c r="M459">
        <v>546</v>
      </c>
      <c r="N459">
        <v>5.55</v>
      </c>
      <c r="P459">
        <v>547</v>
      </c>
      <c r="Q459">
        <v>4.79</v>
      </c>
    </row>
    <row r="460" spans="4:17" x14ac:dyDescent="0.3">
      <c r="D460">
        <v>462</v>
      </c>
      <c r="E460">
        <v>4.53</v>
      </c>
      <c r="G460">
        <v>462</v>
      </c>
      <c r="H460">
        <v>4.72</v>
      </c>
      <c r="J460">
        <v>462</v>
      </c>
      <c r="K460">
        <v>5.1100000000000003</v>
      </c>
      <c r="M460">
        <v>547</v>
      </c>
      <c r="N460">
        <v>5.55</v>
      </c>
      <c r="P460">
        <v>548</v>
      </c>
      <c r="Q460">
        <v>4.79</v>
      </c>
    </row>
    <row r="461" spans="4:17" x14ac:dyDescent="0.3">
      <c r="D461">
        <v>463</v>
      </c>
      <c r="E461">
        <v>4.53</v>
      </c>
      <c r="G461">
        <v>463</v>
      </c>
      <c r="H461">
        <v>4.72</v>
      </c>
      <c r="J461">
        <v>463</v>
      </c>
      <c r="K461">
        <v>5.1100000000000003</v>
      </c>
      <c r="M461">
        <v>548</v>
      </c>
      <c r="N461">
        <v>5.55</v>
      </c>
      <c r="P461">
        <v>549</v>
      </c>
      <c r="Q461">
        <v>4.82</v>
      </c>
    </row>
    <row r="462" spans="4:17" x14ac:dyDescent="0.3">
      <c r="D462">
        <v>464</v>
      </c>
      <c r="E462">
        <v>4.53</v>
      </c>
      <c r="G462">
        <v>464</v>
      </c>
      <c r="H462">
        <v>4.72</v>
      </c>
      <c r="J462">
        <v>464</v>
      </c>
      <c r="K462">
        <v>5.1100000000000003</v>
      </c>
      <c r="M462">
        <v>549</v>
      </c>
      <c r="N462">
        <v>5.58</v>
      </c>
    </row>
    <row r="463" spans="4:17" x14ac:dyDescent="0.3">
      <c r="D463">
        <v>465</v>
      </c>
      <c r="E463">
        <v>4.53</v>
      </c>
      <c r="G463">
        <v>465</v>
      </c>
      <c r="H463">
        <v>4.72</v>
      </c>
      <c r="J463">
        <v>465</v>
      </c>
      <c r="K463">
        <v>5.1100000000000003</v>
      </c>
    </row>
    <row r="464" spans="4:17" x14ac:dyDescent="0.3">
      <c r="D464">
        <v>466</v>
      </c>
      <c r="E464">
        <v>4.53</v>
      </c>
      <c r="G464">
        <v>466</v>
      </c>
      <c r="H464">
        <v>4.72</v>
      </c>
      <c r="J464">
        <v>466</v>
      </c>
      <c r="K464">
        <v>5.1100000000000003</v>
      </c>
    </row>
    <row r="465" spans="4:11" x14ac:dyDescent="0.3">
      <c r="D465">
        <v>467</v>
      </c>
      <c r="E465">
        <v>4.53</v>
      </c>
      <c r="G465">
        <v>467</v>
      </c>
      <c r="H465">
        <v>4.72</v>
      </c>
      <c r="J465">
        <v>467</v>
      </c>
      <c r="K465">
        <v>5.1100000000000003</v>
      </c>
    </row>
    <row r="466" spans="4:11" x14ac:dyDescent="0.3">
      <c r="D466">
        <v>468</v>
      </c>
      <c r="E466">
        <v>4.53</v>
      </c>
      <c r="G466">
        <v>468</v>
      </c>
      <c r="H466">
        <v>4.72</v>
      </c>
      <c r="J466">
        <v>468</v>
      </c>
      <c r="K466">
        <v>5.1100000000000003</v>
      </c>
    </row>
    <row r="467" spans="4:11" x14ac:dyDescent="0.3">
      <c r="D467">
        <v>469</v>
      </c>
      <c r="E467">
        <v>4.53</v>
      </c>
      <c r="G467">
        <v>469</v>
      </c>
      <c r="H467">
        <v>4.72</v>
      </c>
      <c r="J467">
        <v>469</v>
      </c>
      <c r="K467">
        <v>5.1100000000000003</v>
      </c>
    </row>
    <row r="468" spans="4:11" x14ac:dyDescent="0.3">
      <c r="D468">
        <v>470</v>
      </c>
      <c r="E468">
        <v>4.53</v>
      </c>
      <c r="G468">
        <v>470</v>
      </c>
      <c r="H468">
        <v>4.72</v>
      </c>
      <c r="J468">
        <v>470</v>
      </c>
      <c r="K468">
        <v>5.1100000000000003</v>
      </c>
    </row>
    <row r="469" spans="4:11" x14ac:dyDescent="0.3">
      <c r="D469">
        <v>471</v>
      </c>
      <c r="E469">
        <v>4.53</v>
      </c>
      <c r="G469">
        <v>471</v>
      </c>
      <c r="H469">
        <v>4.72</v>
      </c>
      <c r="J469">
        <v>471</v>
      </c>
      <c r="K469">
        <v>5.1100000000000003</v>
      </c>
    </row>
    <row r="470" spans="4:11" x14ac:dyDescent="0.3">
      <c r="D470">
        <v>472</v>
      </c>
      <c r="E470">
        <v>4.53</v>
      </c>
      <c r="G470">
        <v>472</v>
      </c>
      <c r="H470">
        <v>4.72</v>
      </c>
      <c r="J470">
        <v>472</v>
      </c>
      <c r="K470">
        <v>5.1100000000000003</v>
      </c>
    </row>
    <row r="471" spans="4:11" x14ac:dyDescent="0.3">
      <c r="D471">
        <v>473</v>
      </c>
      <c r="E471">
        <v>4.53</v>
      </c>
      <c r="G471">
        <v>473</v>
      </c>
      <c r="H471">
        <v>4.72</v>
      </c>
      <c r="J471">
        <v>473</v>
      </c>
      <c r="K471">
        <v>5.1100000000000003</v>
      </c>
    </row>
    <row r="472" spans="4:11" x14ac:dyDescent="0.3">
      <c r="D472">
        <v>474</v>
      </c>
      <c r="E472">
        <v>4.53</v>
      </c>
      <c r="G472">
        <v>474</v>
      </c>
      <c r="H472">
        <v>4.72</v>
      </c>
      <c r="J472">
        <v>474</v>
      </c>
      <c r="K472">
        <v>5.1100000000000003</v>
      </c>
    </row>
    <row r="473" spans="4:11" x14ac:dyDescent="0.3">
      <c r="D473">
        <v>475</v>
      </c>
      <c r="E473">
        <v>4.53</v>
      </c>
      <c r="G473">
        <v>475</v>
      </c>
      <c r="H473">
        <v>4.72</v>
      </c>
      <c r="J473">
        <v>475</v>
      </c>
      <c r="K473">
        <v>5.1100000000000003</v>
      </c>
    </row>
    <row r="474" spans="4:11" x14ac:dyDescent="0.3">
      <c r="D474">
        <v>476</v>
      </c>
      <c r="E474">
        <v>4.66</v>
      </c>
      <c r="G474">
        <v>476</v>
      </c>
      <c r="H474">
        <v>4.72</v>
      </c>
      <c r="J474">
        <v>476</v>
      </c>
      <c r="K474">
        <v>5.1100000000000003</v>
      </c>
    </row>
    <row r="475" spans="4:11" x14ac:dyDescent="0.3">
      <c r="D475">
        <v>477</v>
      </c>
      <c r="E475">
        <v>4.66</v>
      </c>
      <c r="G475">
        <v>477</v>
      </c>
      <c r="H475">
        <v>4.72</v>
      </c>
      <c r="J475">
        <v>477</v>
      </c>
      <c r="K475">
        <v>5.1100000000000003</v>
      </c>
    </row>
    <row r="476" spans="4:11" x14ac:dyDescent="0.3">
      <c r="D476">
        <v>478</v>
      </c>
      <c r="E476">
        <v>4.66</v>
      </c>
      <c r="G476">
        <v>478</v>
      </c>
      <c r="H476">
        <v>4.72</v>
      </c>
      <c r="J476">
        <v>478</v>
      </c>
      <c r="K476">
        <v>5.1100000000000003</v>
      </c>
    </row>
    <row r="477" spans="4:11" x14ac:dyDescent="0.3">
      <c r="D477">
        <v>479</v>
      </c>
      <c r="E477">
        <v>4.66</v>
      </c>
      <c r="G477">
        <v>479</v>
      </c>
      <c r="H477">
        <v>4.72</v>
      </c>
      <c r="J477">
        <v>479</v>
      </c>
      <c r="K477">
        <v>5.1100000000000003</v>
      </c>
    </row>
    <row r="478" spans="4:11" x14ac:dyDescent="0.3">
      <c r="D478">
        <v>480</v>
      </c>
      <c r="E478">
        <v>4.66</v>
      </c>
      <c r="G478">
        <v>480</v>
      </c>
      <c r="H478">
        <v>4.72</v>
      </c>
      <c r="J478">
        <v>480</v>
      </c>
      <c r="K478">
        <v>5.1100000000000003</v>
      </c>
    </row>
    <row r="479" spans="4:11" x14ac:dyDescent="0.3">
      <c r="D479">
        <v>481</v>
      </c>
      <c r="E479">
        <v>4.66</v>
      </c>
      <c r="G479">
        <v>481</v>
      </c>
      <c r="H479">
        <v>4.72</v>
      </c>
      <c r="J479">
        <v>481</v>
      </c>
      <c r="K479">
        <v>5.1100000000000003</v>
      </c>
    </row>
    <row r="480" spans="4:11" x14ac:dyDescent="0.3">
      <c r="D480">
        <v>482</v>
      </c>
      <c r="E480">
        <v>4.66</v>
      </c>
      <c r="G480">
        <v>482</v>
      </c>
      <c r="H480">
        <v>4.72</v>
      </c>
      <c r="J480">
        <v>482</v>
      </c>
      <c r="K480">
        <v>5.1100000000000003</v>
      </c>
    </row>
    <row r="481" spans="4:12" x14ac:dyDescent="0.3">
      <c r="D481">
        <v>483</v>
      </c>
      <c r="E481">
        <v>4.66</v>
      </c>
      <c r="G481">
        <v>483</v>
      </c>
      <c r="H481">
        <v>4.72</v>
      </c>
      <c r="J481">
        <v>483</v>
      </c>
      <c r="K481">
        <v>5.1100000000000003</v>
      </c>
    </row>
    <row r="482" spans="4:12" x14ac:dyDescent="0.3">
      <c r="D482">
        <v>484</v>
      </c>
      <c r="E482">
        <v>4.66</v>
      </c>
      <c r="G482">
        <v>484</v>
      </c>
      <c r="H482">
        <v>4.72</v>
      </c>
      <c r="J482">
        <v>484</v>
      </c>
      <c r="K482">
        <v>5.1100000000000003</v>
      </c>
    </row>
    <row r="483" spans="4:12" x14ac:dyDescent="0.3">
      <c r="D483">
        <v>485</v>
      </c>
      <c r="E483">
        <v>4.66</v>
      </c>
      <c r="G483">
        <v>485</v>
      </c>
      <c r="H483">
        <v>4.72</v>
      </c>
      <c r="J483">
        <v>485</v>
      </c>
      <c r="K483">
        <v>5.1100000000000003</v>
      </c>
    </row>
    <row r="484" spans="4:12" x14ac:dyDescent="0.3">
      <c r="D484">
        <v>486</v>
      </c>
      <c r="E484">
        <v>4.66</v>
      </c>
      <c r="G484">
        <v>486</v>
      </c>
      <c r="H484">
        <v>4.72</v>
      </c>
      <c r="J484">
        <v>486</v>
      </c>
      <c r="K484">
        <v>5.1100000000000003</v>
      </c>
    </row>
    <row r="485" spans="4:12" x14ac:dyDescent="0.3">
      <c r="D485">
        <v>487</v>
      </c>
      <c r="E485">
        <v>4.66</v>
      </c>
      <c r="G485">
        <v>487</v>
      </c>
      <c r="H485">
        <v>4.72</v>
      </c>
      <c r="J485">
        <v>487</v>
      </c>
      <c r="K485">
        <v>5.1100000000000003</v>
      </c>
    </row>
    <row r="486" spans="4:12" x14ac:dyDescent="0.3">
      <c r="D486">
        <v>488</v>
      </c>
      <c r="E486">
        <v>4.66</v>
      </c>
      <c r="G486">
        <v>488</v>
      </c>
      <c r="H486">
        <v>4.72</v>
      </c>
      <c r="J486">
        <v>488</v>
      </c>
      <c r="K486">
        <v>5.1100000000000003</v>
      </c>
    </row>
    <row r="487" spans="4:12" x14ac:dyDescent="0.3">
      <c r="D487">
        <v>489</v>
      </c>
      <c r="E487">
        <v>4.66</v>
      </c>
      <c r="G487">
        <v>489</v>
      </c>
      <c r="H487">
        <v>4.72</v>
      </c>
      <c r="J487">
        <v>489</v>
      </c>
      <c r="K487">
        <v>5.1100000000000003</v>
      </c>
    </row>
    <row r="488" spans="4:12" x14ac:dyDescent="0.3">
      <c r="D488">
        <v>490</v>
      </c>
      <c r="E488">
        <v>4.66</v>
      </c>
      <c r="G488">
        <v>490</v>
      </c>
      <c r="H488">
        <v>4.72</v>
      </c>
      <c r="J488">
        <v>490</v>
      </c>
      <c r="K488">
        <v>5.1100000000000003</v>
      </c>
    </row>
    <row r="489" spans="4:12" x14ac:dyDescent="0.3">
      <c r="D489">
        <v>491</v>
      </c>
      <c r="E489">
        <v>4.66</v>
      </c>
      <c r="G489">
        <v>491</v>
      </c>
      <c r="H489">
        <v>4.72</v>
      </c>
      <c r="J489">
        <v>491</v>
      </c>
      <c r="K489">
        <v>5.1100000000000003</v>
      </c>
    </row>
    <row r="490" spans="4:12" x14ac:dyDescent="0.3">
      <c r="D490">
        <v>492</v>
      </c>
      <c r="E490">
        <v>4.66</v>
      </c>
      <c r="G490">
        <v>492</v>
      </c>
      <c r="H490">
        <v>4.72</v>
      </c>
      <c r="J490">
        <v>492</v>
      </c>
      <c r="K490">
        <v>5.1100000000000003</v>
      </c>
    </row>
    <row r="491" spans="4:12" x14ac:dyDescent="0.3">
      <c r="D491">
        <v>493</v>
      </c>
      <c r="E491">
        <v>4.66</v>
      </c>
      <c r="G491">
        <v>493</v>
      </c>
      <c r="H491">
        <v>4.72</v>
      </c>
      <c r="J491">
        <v>493</v>
      </c>
      <c r="K491">
        <v>5.1100000000000003</v>
      </c>
    </row>
    <row r="492" spans="4:12" x14ac:dyDescent="0.3">
      <c r="D492">
        <v>494</v>
      </c>
      <c r="E492">
        <v>4.78</v>
      </c>
      <c r="G492">
        <v>494</v>
      </c>
      <c r="H492">
        <v>4.97</v>
      </c>
      <c r="I492">
        <v>4.0000000000000001E-3</v>
      </c>
      <c r="J492">
        <v>494</v>
      </c>
      <c r="K492">
        <v>5.36</v>
      </c>
      <c r="L492">
        <v>4.0000000000000001E-3</v>
      </c>
    </row>
    <row r="493" spans="4:12" x14ac:dyDescent="0.3">
      <c r="D493">
        <v>495</v>
      </c>
      <c r="E493">
        <v>4.78</v>
      </c>
      <c r="G493">
        <v>495</v>
      </c>
      <c r="H493">
        <v>4.97</v>
      </c>
      <c r="J493">
        <v>495</v>
      </c>
      <c r="K493">
        <v>5.36</v>
      </c>
    </row>
    <row r="494" spans="4:12" x14ac:dyDescent="0.3">
      <c r="D494">
        <v>496</v>
      </c>
      <c r="E494">
        <v>4.78</v>
      </c>
      <c r="G494">
        <v>496</v>
      </c>
      <c r="H494">
        <v>4.97</v>
      </c>
      <c r="J494">
        <v>496</v>
      </c>
      <c r="K494">
        <v>5.36</v>
      </c>
    </row>
    <row r="495" spans="4:12" x14ac:dyDescent="0.3">
      <c r="D495">
        <v>497</v>
      </c>
      <c r="E495">
        <v>4.78</v>
      </c>
      <c r="G495">
        <v>497</v>
      </c>
      <c r="H495">
        <v>4.97</v>
      </c>
      <c r="J495">
        <v>497</v>
      </c>
      <c r="K495">
        <v>5.36</v>
      </c>
    </row>
    <row r="496" spans="4:12" x14ac:dyDescent="0.3">
      <c r="D496">
        <v>498</v>
      </c>
      <c r="E496">
        <v>4.78</v>
      </c>
      <c r="G496">
        <v>498</v>
      </c>
      <c r="H496">
        <v>4.97</v>
      </c>
      <c r="J496">
        <v>498</v>
      </c>
      <c r="K496">
        <v>5.36</v>
      </c>
    </row>
    <row r="497" spans="4:12" x14ac:dyDescent="0.3">
      <c r="D497">
        <v>499</v>
      </c>
      <c r="E497">
        <v>4.78</v>
      </c>
      <c r="G497">
        <v>499</v>
      </c>
      <c r="H497">
        <v>4.97</v>
      </c>
      <c r="J497">
        <v>499</v>
      </c>
      <c r="K497">
        <v>5.36</v>
      </c>
    </row>
    <row r="498" spans="4:12" x14ac:dyDescent="0.3">
      <c r="D498">
        <v>500</v>
      </c>
      <c r="E498">
        <v>4.78</v>
      </c>
      <c r="G498">
        <v>500</v>
      </c>
      <c r="H498">
        <v>4.97</v>
      </c>
      <c r="J498">
        <v>500</v>
      </c>
      <c r="K498">
        <v>5.36</v>
      </c>
    </row>
    <row r="499" spans="4:12" x14ac:dyDescent="0.3">
      <c r="D499">
        <v>501</v>
      </c>
      <c r="E499">
        <v>4.78</v>
      </c>
      <c r="G499">
        <v>501</v>
      </c>
      <c r="H499">
        <v>4.97</v>
      </c>
      <c r="J499">
        <v>501</v>
      </c>
      <c r="K499">
        <v>5.36</v>
      </c>
    </row>
    <row r="500" spans="4:12" x14ac:dyDescent="0.3">
      <c r="D500">
        <v>502</v>
      </c>
      <c r="E500">
        <v>4.78</v>
      </c>
      <c r="G500">
        <v>502</v>
      </c>
      <c r="H500">
        <v>4.97</v>
      </c>
      <c r="J500">
        <v>502</v>
      </c>
      <c r="K500">
        <v>5.36</v>
      </c>
    </row>
    <row r="501" spans="4:12" x14ac:dyDescent="0.3">
      <c r="D501">
        <v>503</v>
      </c>
      <c r="E501">
        <v>4.78</v>
      </c>
      <c r="G501">
        <v>503</v>
      </c>
      <c r="H501">
        <v>4.97</v>
      </c>
      <c r="J501">
        <v>503</v>
      </c>
      <c r="K501">
        <v>5.36</v>
      </c>
    </row>
    <row r="502" spans="4:12" x14ac:dyDescent="0.3">
      <c r="D502">
        <v>504</v>
      </c>
      <c r="E502">
        <v>4.78</v>
      </c>
      <c r="G502">
        <v>504</v>
      </c>
      <c r="H502">
        <v>4.97</v>
      </c>
      <c r="J502">
        <v>504</v>
      </c>
      <c r="K502">
        <v>5.36</v>
      </c>
    </row>
    <row r="503" spans="4:12" x14ac:dyDescent="0.3">
      <c r="D503">
        <v>505</v>
      </c>
      <c r="E503">
        <v>4.78</v>
      </c>
      <c r="G503">
        <v>505</v>
      </c>
      <c r="H503">
        <v>4.97</v>
      </c>
      <c r="J503">
        <v>505</v>
      </c>
      <c r="K503">
        <v>5.36</v>
      </c>
    </row>
    <row r="504" spans="4:12" x14ac:dyDescent="0.3">
      <c r="D504">
        <v>506</v>
      </c>
      <c r="E504">
        <v>4.78</v>
      </c>
      <c r="G504">
        <v>506</v>
      </c>
      <c r="H504">
        <v>4.97</v>
      </c>
      <c r="J504">
        <v>506</v>
      </c>
      <c r="K504">
        <v>5.36</v>
      </c>
    </row>
    <row r="505" spans="4:12" x14ac:dyDescent="0.3">
      <c r="D505">
        <v>507</v>
      </c>
      <c r="E505">
        <v>4.78</v>
      </c>
      <c r="G505">
        <v>507</v>
      </c>
      <c r="H505">
        <v>4.97</v>
      </c>
      <c r="J505">
        <v>507</v>
      </c>
      <c r="K505">
        <v>5.36</v>
      </c>
    </row>
    <row r="506" spans="4:12" x14ac:dyDescent="0.3">
      <c r="D506">
        <v>508</v>
      </c>
      <c r="E506">
        <v>4.78</v>
      </c>
      <c r="G506">
        <v>508</v>
      </c>
      <c r="H506">
        <v>4.97</v>
      </c>
      <c r="J506">
        <v>508</v>
      </c>
      <c r="K506">
        <v>5.36</v>
      </c>
    </row>
    <row r="507" spans="4:12" x14ac:dyDescent="0.3">
      <c r="D507">
        <v>509</v>
      </c>
      <c r="E507">
        <v>4.78</v>
      </c>
      <c r="G507">
        <v>509</v>
      </c>
      <c r="H507">
        <v>4.97</v>
      </c>
      <c r="J507">
        <v>509</v>
      </c>
      <c r="K507">
        <v>5.36</v>
      </c>
    </row>
    <row r="508" spans="4:12" x14ac:dyDescent="0.3">
      <c r="D508">
        <v>510</v>
      </c>
      <c r="E508">
        <v>4.78</v>
      </c>
      <c r="G508">
        <v>510</v>
      </c>
      <c r="H508">
        <v>4.97</v>
      </c>
      <c r="J508">
        <v>510</v>
      </c>
      <c r="K508">
        <v>5.36</v>
      </c>
    </row>
    <row r="509" spans="4:12" x14ac:dyDescent="0.3">
      <c r="D509">
        <v>511</v>
      </c>
      <c r="E509">
        <v>4.78</v>
      </c>
      <c r="G509">
        <v>511</v>
      </c>
      <c r="H509">
        <v>4.97</v>
      </c>
      <c r="J509">
        <v>511</v>
      </c>
      <c r="K509">
        <v>5.36</v>
      </c>
    </row>
    <row r="510" spans="4:12" x14ac:dyDescent="0.3">
      <c r="D510">
        <v>512</v>
      </c>
      <c r="E510">
        <v>4.8600000000000003</v>
      </c>
      <c r="G510">
        <v>512</v>
      </c>
      <c r="H510">
        <v>5.05</v>
      </c>
      <c r="I510">
        <v>2.5000000000000001E-3</v>
      </c>
      <c r="J510">
        <v>512</v>
      </c>
      <c r="K510">
        <v>5.44</v>
      </c>
      <c r="L510">
        <v>2.5000000000000001E-3</v>
      </c>
    </row>
    <row r="511" spans="4:12" x14ac:dyDescent="0.3">
      <c r="D511">
        <v>513</v>
      </c>
      <c r="E511">
        <v>4.8600000000000003</v>
      </c>
      <c r="G511">
        <v>513</v>
      </c>
      <c r="H511">
        <v>5.05</v>
      </c>
      <c r="J511">
        <v>513</v>
      </c>
      <c r="K511">
        <v>5.44</v>
      </c>
    </row>
    <row r="512" spans="4:12" x14ac:dyDescent="0.3">
      <c r="D512">
        <v>514</v>
      </c>
      <c r="E512">
        <v>4.8600000000000003</v>
      </c>
      <c r="G512">
        <v>514</v>
      </c>
      <c r="H512">
        <v>5.05</v>
      </c>
      <c r="J512">
        <v>514</v>
      </c>
      <c r="K512">
        <v>5.44</v>
      </c>
    </row>
    <row r="513" spans="4:12" x14ac:dyDescent="0.3">
      <c r="D513">
        <v>515</v>
      </c>
      <c r="E513">
        <v>4.8600000000000003</v>
      </c>
      <c r="G513">
        <v>515</v>
      </c>
      <c r="H513">
        <v>5.05</v>
      </c>
      <c r="J513">
        <v>515</v>
      </c>
      <c r="K513">
        <v>5.44</v>
      </c>
    </row>
    <row r="514" spans="4:12" x14ac:dyDescent="0.3">
      <c r="D514">
        <v>516</v>
      </c>
      <c r="E514">
        <v>4.8600000000000003</v>
      </c>
      <c r="G514">
        <v>516</v>
      </c>
      <c r="H514">
        <v>5.05</v>
      </c>
      <c r="J514">
        <v>516</v>
      </c>
      <c r="K514">
        <v>5.44</v>
      </c>
    </row>
    <row r="515" spans="4:12" x14ac:dyDescent="0.3">
      <c r="D515">
        <v>517</v>
      </c>
      <c r="E515">
        <v>4.8600000000000003</v>
      </c>
      <c r="G515">
        <v>517</v>
      </c>
      <c r="H515">
        <v>5.05</v>
      </c>
      <c r="J515">
        <v>517</v>
      </c>
      <c r="K515">
        <v>5.44</v>
      </c>
    </row>
    <row r="516" spans="4:12" x14ac:dyDescent="0.3">
      <c r="D516">
        <v>518</v>
      </c>
      <c r="E516">
        <v>4.8600000000000003</v>
      </c>
      <c r="G516">
        <v>518</v>
      </c>
      <c r="H516">
        <v>5.05</v>
      </c>
      <c r="J516">
        <v>518</v>
      </c>
      <c r="K516">
        <v>5.44</v>
      </c>
    </row>
    <row r="517" spans="4:12" x14ac:dyDescent="0.3">
      <c r="D517">
        <v>519</v>
      </c>
      <c r="E517">
        <v>4.8600000000000003</v>
      </c>
      <c r="G517">
        <v>519</v>
      </c>
      <c r="H517">
        <v>5.05</v>
      </c>
      <c r="J517">
        <v>519</v>
      </c>
      <c r="K517">
        <v>5.44</v>
      </c>
    </row>
    <row r="518" spans="4:12" x14ac:dyDescent="0.3">
      <c r="D518">
        <v>520</v>
      </c>
      <c r="E518">
        <v>4.8600000000000003</v>
      </c>
      <c r="G518">
        <v>520</v>
      </c>
      <c r="H518">
        <v>5.05</v>
      </c>
      <c r="J518">
        <v>520</v>
      </c>
      <c r="K518">
        <v>5.44</v>
      </c>
    </row>
    <row r="519" spans="4:12" x14ac:dyDescent="0.3">
      <c r="D519">
        <v>521</v>
      </c>
      <c r="E519">
        <v>4.8600000000000003</v>
      </c>
      <c r="G519">
        <v>521</v>
      </c>
      <c r="H519">
        <v>5.05</v>
      </c>
      <c r="J519">
        <v>521</v>
      </c>
      <c r="K519">
        <v>5.44</v>
      </c>
    </row>
    <row r="520" spans="4:12" x14ac:dyDescent="0.3">
      <c r="D520">
        <v>522</v>
      </c>
      <c r="E520">
        <v>4.8600000000000003</v>
      </c>
      <c r="G520">
        <v>522</v>
      </c>
      <c r="H520">
        <v>5.05</v>
      </c>
      <c r="J520">
        <v>522</v>
      </c>
      <c r="K520">
        <v>5.44</v>
      </c>
    </row>
    <row r="521" spans="4:12" x14ac:dyDescent="0.3">
      <c r="D521">
        <v>523</v>
      </c>
      <c r="E521">
        <v>4.8600000000000003</v>
      </c>
      <c r="G521">
        <v>523</v>
      </c>
      <c r="H521">
        <v>5.05</v>
      </c>
      <c r="J521">
        <v>523</v>
      </c>
      <c r="K521">
        <v>5.44</v>
      </c>
    </row>
    <row r="522" spans="4:12" x14ac:dyDescent="0.3">
      <c r="D522">
        <v>524</v>
      </c>
      <c r="E522">
        <v>4.8600000000000003</v>
      </c>
      <c r="G522">
        <v>524</v>
      </c>
      <c r="H522">
        <v>5.05</v>
      </c>
      <c r="J522">
        <v>524</v>
      </c>
      <c r="K522">
        <v>5.44</v>
      </c>
    </row>
    <row r="523" spans="4:12" x14ac:dyDescent="0.3">
      <c r="D523">
        <v>525</v>
      </c>
      <c r="E523">
        <v>4.8600000000000003</v>
      </c>
      <c r="G523">
        <v>525</v>
      </c>
      <c r="H523">
        <v>5.05</v>
      </c>
      <c r="J523">
        <v>525</v>
      </c>
      <c r="K523">
        <v>5.44</v>
      </c>
    </row>
    <row r="524" spans="4:12" x14ac:dyDescent="0.3">
      <c r="D524">
        <v>526</v>
      </c>
      <c r="E524">
        <v>4.8600000000000003</v>
      </c>
      <c r="G524">
        <v>526</v>
      </c>
      <c r="H524">
        <v>5.05</v>
      </c>
      <c r="J524">
        <v>526</v>
      </c>
      <c r="K524">
        <v>5.44</v>
      </c>
    </row>
    <row r="525" spans="4:12" x14ac:dyDescent="0.3">
      <c r="D525">
        <v>527</v>
      </c>
      <c r="E525">
        <v>4.8600000000000003</v>
      </c>
      <c r="G525">
        <v>527</v>
      </c>
      <c r="H525">
        <v>5.05</v>
      </c>
      <c r="J525">
        <v>527</v>
      </c>
      <c r="K525">
        <v>5.44</v>
      </c>
    </row>
    <row r="526" spans="4:12" x14ac:dyDescent="0.3">
      <c r="D526">
        <v>528</v>
      </c>
      <c r="E526">
        <v>4.8600000000000003</v>
      </c>
      <c r="G526">
        <v>528</v>
      </c>
      <c r="H526">
        <v>5.05</v>
      </c>
      <c r="J526">
        <v>528</v>
      </c>
      <c r="K526">
        <v>5.44</v>
      </c>
    </row>
    <row r="527" spans="4:12" x14ac:dyDescent="0.3">
      <c r="D527">
        <v>529</v>
      </c>
      <c r="E527">
        <v>4.8600000000000003</v>
      </c>
      <c r="G527">
        <v>529</v>
      </c>
      <c r="H527">
        <v>5.05</v>
      </c>
      <c r="J527">
        <v>529</v>
      </c>
      <c r="K527">
        <v>5.44</v>
      </c>
    </row>
    <row r="528" spans="4:12" x14ac:dyDescent="0.3">
      <c r="D528">
        <v>530</v>
      </c>
      <c r="E528">
        <v>4.91</v>
      </c>
      <c r="G528">
        <v>530</v>
      </c>
      <c r="H528">
        <v>5.0999999999999996</v>
      </c>
      <c r="I528">
        <v>-0.255</v>
      </c>
      <c r="J528">
        <v>530</v>
      </c>
      <c r="K528">
        <v>5.49</v>
      </c>
      <c r="L528">
        <v>-0.27450000000000002</v>
      </c>
    </row>
    <row r="529" spans="4:11" x14ac:dyDescent="0.3">
      <c r="D529">
        <v>531</v>
      </c>
      <c r="E529">
        <v>4.91</v>
      </c>
      <c r="G529">
        <v>531</v>
      </c>
      <c r="H529">
        <v>5.0999999999999996</v>
      </c>
      <c r="J529">
        <v>531</v>
      </c>
      <c r="K529">
        <v>5.49</v>
      </c>
    </row>
    <row r="530" spans="4:11" x14ac:dyDescent="0.3">
      <c r="D530">
        <v>532</v>
      </c>
      <c r="E530">
        <v>4.91</v>
      </c>
      <c r="G530">
        <v>532</v>
      </c>
      <c r="H530">
        <v>5.0999999999999996</v>
      </c>
      <c r="J530">
        <v>532</v>
      </c>
      <c r="K530">
        <v>5.49</v>
      </c>
    </row>
    <row r="531" spans="4:11" x14ac:dyDescent="0.3">
      <c r="D531">
        <v>533</v>
      </c>
      <c r="E531">
        <v>4.91</v>
      </c>
      <c r="G531">
        <v>533</v>
      </c>
      <c r="H531">
        <v>5.0999999999999996</v>
      </c>
      <c r="J531">
        <v>533</v>
      </c>
      <c r="K531">
        <v>5.49</v>
      </c>
    </row>
    <row r="532" spans="4:11" x14ac:dyDescent="0.3">
      <c r="D532">
        <v>534</v>
      </c>
      <c r="E532">
        <v>4.91</v>
      </c>
      <c r="G532">
        <v>534</v>
      </c>
      <c r="H532">
        <v>5.0999999999999996</v>
      </c>
      <c r="J532">
        <v>534</v>
      </c>
      <c r="K532">
        <v>5.49</v>
      </c>
    </row>
    <row r="533" spans="4:11" x14ac:dyDescent="0.3">
      <c r="D533">
        <v>535</v>
      </c>
      <c r="E533">
        <v>4.91</v>
      </c>
      <c r="G533">
        <v>535</v>
      </c>
      <c r="H533">
        <v>5.0999999999999996</v>
      </c>
      <c r="J533">
        <v>535</v>
      </c>
      <c r="K533">
        <v>5.49</v>
      </c>
    </row>
    <row r="534" spans="4:11" x14ac:dyDescent="0.3">
      <c r="D534">
        <v>536</v>
      </c>
      <c r="E534">
        <v>4.91</v>
      </c>
      <c r="G534">
        <v>536</v>
      </c>
      <c r="H534">
        <v>5.0999999999999996</v>
      </c>
      <c r="J534">
        <v>536</v>
      </c>
      <c r="K534">
        <v>5.49</v>
      </c>
    </row>
    <row r="535" spans="4:11" x14ac:dyDescent="0.3">
      <c r="D535">
        <v>537</v>
      </c>
      <c r="E535">
        <v>4.91</v>
      </c>
      <c r="G535">
        <v>537</v>
      </c>
      <c r="H535">
        <v>5.0999999999999996</v>
      </c>
      <c r="J535">
        <v>537</v>
      </c>
      <c r="K535">
        <v>5.49</v>
      </c>
    </row>
    <row r="536" spans="4:11" x14ac:dyDescent="0.3">
      <c r="D536">
        <v>538</v>
      </c>
      <c r="E536">
        <v>4.91</v>
      </c>
      <c r="G536">
        <v>538</v>
      </c>
      <c r="H536">
        <v>5.0999999999999996</v>
      </c>
      <c r="J536">
        <v>538</v>
      </c>
      <c r="K536">
        <v>5.49</v>
      </c>
    </row>
    <row r="537" spans="4:11" x14ac:dyDescent="0.3">
      <c r="D537">
        <v>539</v>
      </c>
      <c r="E537">
        <v>4.91</v>
      </c>
      <c r="G537">
        <v>539</v>
      </c>
      <c r="H537">
        <v>5.0999999999999996</v>
      </c>
      <c r="J537">
        <v>539</v>
      </c>
      <c r="K537">
        <v>5.49</v>
      </c>
    </row>
    <row r="538" spans="4:11" x14ac:dyDescent="0.3">
      <c r="D538">
        <v>540</v>
      </c>
      <c r="E538">
        <v>4.91</v>
      </c>
      <c r="G538">
        <v>540</v>
      </c>
      <c r="H538">
        <v>5.0999999999999996</v>
      </c>
      <c r="J538">
        <v>540</v>
      </c>
      <c r="K538">
        <v>5.49</v>
      </c>
    </row>
    <row r="539" spans="4:11" x14ac:dyDescent="0.3">
      <c r="D539">
        <v>541</v>
      </c>
      <c r="E539">
        <v>4.91</v>
      </c>
      <c r="G539">
        <v>541</v>
      </c>
      <c r="H539">
        <v>5.0999999999999996</v>
      </c>
      <c r="J539">
        <v>541</v>
      </c>
      <c r="K539">
        <v>5.49</v>
      </c>
    </row>
    <row r="540" spans="4:11" x14ac:dyDescent="0.3">
      <c r="D540">
        <v>542</v>
      </c>
      <c r="E540">
        <v>4.91</v>
      </c>
      <c r="G540">
        <v>542</v>
      </c>
      <c r="H540">
        <v>5.0999999999999996</v>
      </c>
      <c r="J540">
        <v>542</v>
      </c>
      <c r="K540">
        <v>5.49</v>
      </c>
    </row>
    <row r="541" spans="4:11" x14ac:dyDescent="0.3">
      <c r="D541">
        <v>543</v>
      </c>
      <c r="E541">
        <v>4.91</v>
      </c>
      <c r="G541">
        <v>543</v>
      </c>
      <c r="H541">
        <v>5.0999999999999996</v>
      </c>
      <c r="J541">
        <v>543</v>
      </c>
      <c r="K541">
        <v>5.49</v>
      </c>
    </row>
    <row r="542" spans="4:11" x14ac:dyDescent="0.3">
      <c r="D542">
        <v>544</v>
      </c>
      <c r="E542">
        <v>4.91</v>
      </c>
      <c r="G542">
        <v>544</v>
      </c>
      <c r="H542">
        <v>5.0999999999999996</v>
      </c>
      <c r="J542">
        <v>544</v>
      </c>
      <c r="K542">
        <v>5.49</v>
      </c>
    </row>
    <row r="543" spans="4:11" x14ac:dyDescent="0.3">
      <c r="D543">
        <v>545</v>
      </c>
      <c r="E543">
        <v>4.91</v>
      </c>
      <c r="G543">
        <v>545</v>
      </c>
      <c r="H543">
        <v>5.0999999999999996</v>
      </c>
      <c r="J543">
        <v>545</v>
      </c>
      <c r="K543">
        <v>5.49</v>
      </c>
    </row>
    <row r="544" spans="4:11" x14ac:dyDescent="0.3">
      <c r="D544">
        <v>546</v>
      </c>
      <c r="E544">
        <v>4.91</v>
      </c>
      <c r="G544">
        <v>546</v>
      </c>
      <c r="H544">
        <v>5.0999999999999996</v>
      </c>
      <c r="J544">
        <v>546</v>
      </c>
      <c r="K544">
        <v>5.49</v>
      </c>
    </row>
    <row r="545" spans="4:11" x14ac:dyDescent="0.3">
      <c r="D545">
        <v>547</v>
      </c>
      <c r="E545">
        <v>4.91</v>
      </c>
      <c r="G545">
        <v>547</v>
      </c>
      <c r="H545">
        <v>5.0999999999999996</v>
      </c>
      <c r="J545">
        <v>547</v>
      </c>
      <c r="K545">
        <v>5.49</v>
      </c>
    </row>
    <row r="546" spans="4:11" x14ac:dyDescent="0.3">
      <c r="D546">
        <v>548</v>
      </c>
      <c r="E546">
        <v>4.91</v>
      </c>
      <c r="G546">
        <v>548</v>
      </c>
      <c r="H546">
        <v>5.0999999999999996</v>
      </c>
      <c r="J546">
        <v>548</v>
      </c>
      <c r="K546">
        <v>5.49</v>
      </c>
    </row>
    <row r="547" spans="4:11" x14ac:dyDescent="0.3">
      <c r="D547">
        <v>549</v>
      </c>
      <c r="E547">
        <v>4.9400000000000004</v>
      </c>
      <c r="G547">
        <v>549</v>
      </c>
      <c r="H547">
        <v>5.13</v>
      </c>
      <c r="J547">
        <v>549</v>
      </c>
      <c r="K547">
        <v>5.52</v>
      </c>
    </row>
  </sheetData>
  <mergeCells count="7">
    <mergeCell ref="W14:X14"/>
    <mergeCell ref="A1:B1"/>
    <mergeCell ref="D1:E1"/>
    <mergeCell ref="G1:H1"/>
    <mergeCell ref="J1:K1"/>
    <mergeCell ref="M1:N1"/>
    <mergeCell ref="P1:Q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00"/>
  <sheetViews>
    <sheetView topLeftCell="A63" workbookViewId="0">
      <selection activeCell="F100" sqref="F100"/>
    </sheetView>
  </sheetViews>
  <sheetFormatPr defaultRowHeight="14.4" x14ac:dyDescent="0.3"/>
  <cols>
    <col min="1" max="1" width="17.33203125" customWidth="1"/>
    <col min="2" max="2" width="22.88671875" customWidth="1"/>
  </cols>
  <sheetData>
    <row r="1" spans="1:6" x14ac:dyDescent="0.3">
      <c r="A1" t="s">
        <v>56</v>
      </c>
      <c r="B1" t="s">
        <v>5</v>
      </c>
      <c r="C1" t="s">
        <v>6</v>
      </c>
      <c r="D1" t="s">
        <v>53</v>
      </c>
      <c r="E1" t="s">
        <v>57</v>
      </c>
      <c r="F1" t="s">
        <v>58</v>
      </c>
    </row>
    <row r="2" spans="1:6" x14ac:dyDescent="0.3">
      <c r="A2" t="str">
        <f t="shared" ref="A2:A31" si="0">CONCATENATE(C2,B2)</f>
        <v>1EG-White</v>
      </c>
      <c r="B2" t="s">
        <v>64</v>
      </c>
      <c r="C2">
        <v>1</v>
      </c>
      <c r="D2">
        <v>384</v>
      </c>
      <c r="E2">
        <v>7</v>
      </c>
      <c r="F2">
        <v>4</v>
      </c>
    </row>
    <row r="3" spans="1:6" x14ac:dyDescent="0.3">
      <c r="A3" t="str">
        <f t="shared" si="0"/>
        <v>2EG-White</v>
      </c>
      <c r="B3" t="s">
        <v>64</v>
      </c>
      <c r="C3">
        <v>2</v>
      </c>
      <c r="D3">
        <v>275</v>
      </c>
      <c r="E3">
        <v>16</v>
      </c>
      <c r="F3">
        <v>4</v>
      </c>
    </row>
    <row r="4" spans="1:6" x14ac:dyDescent="0.3">
      <c r="A4" t="str">
        <f t="shared" si="0"/>
        <v>3EG-White</v>
      </c>
      <c r="B4" t="s">
        <v>64</v>
      </c>
      <c r="C4">
        <v>3</v>
      </c>
      <c r="D4">
        <v>203</v>
      </c>
      <c r="E4">
        <v>6</v>
      </c>
      <c r="F4">
        <v>3</v>
      </c>
    </row>
    <row r="5" spans="1:6" x14ac:dyDescent="0.3">
      <c r="A5" t="str">
        <f t="shared" si="0"/>
        <v>4EG-White</v>
      </c>
      <c r="B5" t="s">
        <v>64</v>
      </c>
      <c r="C5">
        <v>4</v>
      </c>
      <c r="D5">
        <v>528</v>
      </c>
      <c r="E5">
        <v>12</v>
      </c>
      <c r="F5">
        <v>5</v>
      </c>
    </row>
    <row r="6" spans="1:6" x14ac:dyDescent="0.3">
      <c r="A6" t="str">
        <f t="shared" si="0"/>
        <v>5EG-White</v>
      </c>
      <c r="B6" t="s">
        <v>64</v>
      </c>
      <c r="C6">
        <v>5</v>
      </c>
      <c r="D6">
        <v>306</v>
      </c>
      <c r="E6">
        <v>4</v>
      </c>
      <c r="F6">
        <v>4</v>
      </c>
    </row>
    <row r="7" spans="1:6" x14ac:dyDescent="0.3">
      <c r="A7" t="str">
        <f t="shared" si="0"/>
        <v>6EG-White</v>
      </c>
      <c r="B7" t="s">
        <v>64</v>
      </c>
      <c r="C7">
        <v>6</v>
      </c>
      <c r="D7">
        <v>345</v>
      </c>
      <c r="E7">
        <v>14</v>
      </c>
      <c r="F7">
        <v>4</v>
      </c>
    </row>
    <row r="8" spans="1:6" x14ac:dyDescent="0.3">
      <c r="A8" t="str">
        <f t="shared" si="0"/>
        <v>7EG-White</v>
      </c>
      <c r="B8" t="s">
        <v>64</v>
      </c>
      <c r="C8">
        <v>7</v>
      </c>
      <c r="D8">
        <v>421</v>
      </c>
      <c r="E8">
        <v>2</v>
      </c>
      <c r="F8">
        <v>4</v>
      </c>
    </row>
    <row r="9" spans="1:6" x14ac:dyDescent="0.3">
      <c r="A9" t="str">
        <f t="shared" si="0"/>
        <v>8EG-White</v>
      </c>
      <c r="B9" t="s">
        <v>64</v>
      </c>
      <c r="C9">
        <v>8</v>
      </c>
      <c r="D9">
        <v>145</v>
      </c>
      <c r="E9">
        <v>18</v>
      </c>
      <c r="F9">
        <v>3</v>
      </c>
    </row>
    <row r="10" spans="1:6" x14ac:dyDescent="0.3">
      <c r="A10" t="str">
        <f t="shared" si="0"/>
        <v>9EG-White</v>
      </c>
      <c r="B10" t="s">
        <v>64</v>
      </c>
      <c r="C10">
        <v>9</v>
      </c>
      <c r="D10">
        <v>485</v>
      </c>
      <c r="E10">
        <v>10</v>
      </c>
      <c r="F10">
        <v>5</v>
      </c>
    </row>
    <row r="11" spans="1:6" x14ac:dyDescent="0.3">
      <c r="A11" t="str">
        <f t="shared" si="0"/>
        <v>10EG-White</v>
      </c>
      <c r="B11" t="s">
        <v>64</v>
      </c>
      <c r="C11">
        <v>10</v>
      </c>
      <c r="D11">
        <v>437</v>
      </c>
      <c r="E11">
        <v>1</v>
      </c>
      <c r="F11">
        <v>4</v>
      </c>
    </row>
    <row r="12" spans="1:6" x14ac:dyDescent="0.3">
      <c r="A12" t="str">
        <f t="shared" si="0"/>
        <v>11EG-White</v>
      </c>
      <c r="B12" t="s">
        <v>64</v>
      </c>
      <c r="C12">
        <v>11</v>
      </c>
      <c r="D12">
        <v>172</v>
      </c>
      <c r="E12">
        <v>17</v>
      </c>
      <c r="F12">
        <v>3</v>
      </c>
    </row>
    <row r="13" spans="1:6" x14ac:dyDescent="0.3">
      <c r="A13" t="str">
        <f t="shared" si="0"/>
        <v>12EG-White</v>
      </c>
      <c r="B13" t="s">
        <v>64</v>
      </c>
      <c r="C13">
        <v>12</v>
      </c>
      <c r="D13">
        <v>390</v>
      </c>
      <c r="E13">
        <v>9</v>
      </c>
      <c r="F13">
        <v>4</v>
      </c>
    </row>
    <row r="14" spans="1:6" x14ac:dyDescent="0.3">
      <c r="A14" t="str">
        <f t="shared" si="0"/>
        <v>13EG-White</v>
      </c>
      <c r="B14" t="s">
        <v>64</v>
      </c>
      <c r="C14">
        <v>13</v>
      </c>
      <c r="D14">
        <v>365</v>
      </c>
      <c r="E14">
        <v>3</v>
      </c>
      <c r="F14">
        <v>4</v>
      </c>
    </row>
    <row r="15" spans="1:6" x14ac:dyDescent="0.3">
      <c r="A15" t="str">
        <f t="shared" si="0"/>
        <v>14EG-White</v>
      </c>
      <c r="B15" t="s">
        <v>64</v>
      </c>
      <c r="C15">
        <v>14</v>
      </c>
      <c r="D15">
        <v>354</v>
      </c>
      <c r="E15">
        <v>11</v>
      </c>
      <c r="F15">
        <v>4</v>
      </c>
    </row>
    <row r="16" spans="1:6" x14ac:dyDescent="0.3">
      <c r="A16" t="str">
        <f t="shared" si="0"/>
        <v>15EG-White</v>
      </c>
      <c r="B16" t="s">
        <v>64</v>
      </c>
      <c r="C16">
        <v>15</v>
      </c>
      <c r="D16">
        <v>464</v>
      </c>
      <c r="E16">
        <v>13</v>
      </c>
      <c r="F16">
        <v>5</v>
      </c>
    </row>
    <row r="17" spans="1:6" x14ac:dyDescent="0.3">
      <c r="A17" t="str">
        <f t="shared" si="0"/>
        <v>16EG-White</v>
      </c>
      <c r="B17" t="s">
        <v>64</v>
      </c>
      <c r="C17">
        <v>16</v>
      </c>
      <c r="D17">
        <v>167</v>
      </c>
      <c r="E17">
        <v>15</v>
      </c>
      <c r="F17">
        <v>3</v>
      </c>
    </row>
    <row r="18" spans="1:6" x14ac:dyDescent="0.3">
      <c r="A18" t="str">
        <f t="shared" si="0"/>
        <v>17EG-White</v>
      </c>
      <c r="B18" t="s">
        <v>64</v>
      </c>
      <c r="C18">
        <v>17</v>
      </c>
      <c r="D18">
        <v>503</v>
      </c>
      <c r="E18">
        <v>5</v>
      </c>
      <c r="F18">
        <v>5</v>
      </c>
    </row>
    <row r="19" spans="1:6" x14ac:dyDescent="0.3">
      <c r="A19" t="str">
        <f t="shared" si="0"/>
        <v>18EG-White</v>
      </c>
      <c r="B19" t="s">
        <v>64</v>
      </c>
      <c r="C19">
        <v>18</v>
      </c>
      <c r="D19">
        <v>373</v>
      </c>
      <c r="E19">
        <v>7</v>
      </c>
      <c r="F19">
        <v>4</v>
      </c>
    </row>
    <row r="20" spans="1:6" x14ac:dyDescent="0.3">
      <c r="A20" t="str">
        <f t="shared" si="0"/>
        <v>1El Higueral Golf White</v>
      </c>
      <c r="B20" t="s">
        <v>54</v>
      </c>
      <c r="C20">
        <v>1</v>
      </c>
      <c r="D20">
        <v>134</v>
      </c>
      <c r="E20">
        <v>17</v>
      </c>
      <c r="F20">
        <v>3</v>
      </c>
    </row>
    <row r="21" spans="1:6" x14ac:dyDescent="0.3">
      <c r="A21" t="str">
        <f t="shared" si="0"/>
        <v>2El Higueral Golf White</v>
      </c>
      <c r="B21" t="s">
        <v>54</v>
      </c>
      <c r="C21">
        <v>2</v>
      </c>
      <c r="D21">
        <v>377</v>
      </c>
      <c r="E21">
        <v>1</v>
      </c>
      <c r="F21">
        <v>4</v>
      </c>
    </row>
    <row r="22" spans="1:6" x14ac:dyDescent="0.3">
      <c r="A22" t="str">
        <f t="shared" si="0"/>
        <v>3El Higueral Golf White</v>
      </c>
      <c r="B22" t="s">
        <v>54</v>
      </c>
      <c r="C22">
        <v>3</v>
      </c>
      <c r="D22">
        <v>147</v>
      </c>
      <c r="E22">
        <v>13</v>
      </c>
      <c r="F22">
        <v>3</v>
      </c>
    </row>
    <row r="23" spans="1:6" x14ac:dyDescent="0.3">
      <c r="A23" t="str">
        <f t="shared" si="0"/>
        <v>4El Higueral Golf White</v>
      </c>
      <c r="B23" t="s">
        <v>54</v>
      </c>
      <c r="C23">
        <v>4</v>
      </c>
      <c r="D23">
        <v>489</v>
      </c>
      <c r="E23">
        <v>11</v>
      </c>
      <c r="F23">
        <v>5</v>
      </c>
    </row>
    <row r="24" spans="1:6" x14ac:dyDescent="0.3">
      <c r="A24" t="str">
        <f t="shared" si="0"/>
        <v>5El Higueral Golf White</v>
      </c>
      <c r="B24" t="s">
        <v>54</v>
      </c>
      <c r="C24">
        <v>5</v>
      </c>
      <c r="D24">
        <v>378</v>
      </c>
      <c r="E24">
        <v>3</v>
      </c>
      <c r="F24">
        <v>4</v>
      </c>
    </row>
    <row r="25" spans="1:6" x14ac:dyDescent="0.3">
      <c r="A25" t="str">
        <f t="shared" si="0"/>
        <v>6El Higueral Golf White</v>
      </c>
      <c r="B25" t="s">
        <v>54</v>
      </c>
      <c r="C25">
        <v>6</v>
      </c>
      <c r="D25">
        <v>458</v>
      </c>
      <c r="E25">
        <v>9</v>
      </c>
      <c r="F25">
        <v>5</v>
      </c>
    </row>
    <row r="26" spans="1:6" x14ac:dyDescent="0.3">
      <c r="A26" t="str">
        <f>CONCATENATE(C26,B26)</f>
        <v>7El Higueral Golf White</v>
      </c>
      <c r="B26" t="s">
        <v>54</v>
      </c>
      <c r="C26">
        <v>7</v>
      </c>
      <c r="D26">
        <v>282</v>
      </c>
      <c r="E26">
        <v>15</v>
      </c>
      <c r="F26">
        <v>4</v>
      </c>
    </row>
    <row r="27" spans="1:6" x14ac:dyDescent="0.3">
      <c r="A27" t="str">
        <f t="shared" si="0"/>
        <v>8El Higueral Golf White</v>
      </c>
      <c r="B27" t="s">
        <v>54</v>
      </c>
      <c r="C27">
        <v>8</v>
      </c>
      <c r="D27">
        <v>349</v>
      </c>
      <c r="E27">
        <v>7</v>
      </c>
      <c r="F27">
        <v>4</v>
      </c>
    </row>
    <row r="28" spans="1:6" x14ac:dyDescent="0.3">
      <c r="A28" t="str">
        <f t="shared" si="0"/>
        <v>9El Higueral Golf White</v>
      </c>
      <c r="B28" t="s">
        <v>54</v>
      </c>
      <c r="C28">
        <v>9</v>
      </c>
      <c r="D28">
        <v>324</v>
      </c>
      <c r="E28">
        <v>5</v>
      </c>
      <c r="F28">
        <v>4</v>
      </c>
    </row>
    <row r="29" spans="1:6" x14ac:dyDescent="0.3">
      <c r="A29" t="str">
        <f t="shared" si="0"/>
        <v>10Gualdemina Sud White</v>
      </c>
      <c r="B29" t="s">
        <v>55</v>
      </c>
      <c r="C29">
        <v>10</v>
      </c>
      <c r="D29">
        <v>369</v>
      </c>
      <c r="E29">
        <v>2</v>
      </c>
      <c r="F29">
        <v>4</v>
      </c>
    </row>
    <row r="30" spans="1:6" x14ac:dyDescent="0.3">
      <c r="A30" t="str">
        <f t="shared" si="0"/>
        <v>11Gualdemina Sud White</v>
      </c>
      <c r="B30" t="s">
        <v>55</v>
      </c>
      <c r="C30">
        <v>11</v>
      </c>
      <c r="D30">
        <v>160</v>
      </c>
      <c r="E30">
        <v>10</v>
      </c>
      <c r="F30">
        <v>3</v>
      </c>
    </row>
    <row r="31" spans="1:6" x14ac:dyDescent="0.3">
      <c r="A31" t="str">
        <f t="shared" si="0"/>
        <v>12Gualdemina Sud White</v>
      </c>
      <c r="B31" t="s">
        <v>55</v>
      </c>
      <c r="C31">
        <v>12</v>
      </c>
      <c r="D31">
        <v>283</v>
      </c>
      <c r="E31">
        <v>12</v>
      </c>
      <c r="F31">
        <v>4</v>
      </c>
    </row>
    <row r="32" spans="1:6" x14ac:dyDescent="0.3">
      <c r="A32" t="str">
        <f t="shared" ref="A32:A63" si="1">CONCATENATE(C32,B32)</f>
        <v>13Gualdemina Sud White</v>
      </c>
      <c r="B32" t="s">
        <v>55</v>
      </c>
      <c r="C32">
        <v>13</v>
      </c>
      <c r="D32">
        <v>304</v>
      </c>
      <c r="E32">
        <v>4</v>
      </c>
      <c r="F32">
        <v>4</v>
      </c>
    </row>
    <row r="33" spans="1:6" x14ac:dyDescent="0.3">
      <c r="A33" t="str">
        <f t="shared" si="1"/>
        <v>14Gualdemina Sud White</v>
      </c>
      <c r="B33" t="s">
        <v>55</v>
      </c>
      <c r="C33">
        <v>14</v>
      </c>
      <c r="D33">
        <v>166</v>
      </c>
      <c r="E33">
        <v>16</v>
      </c>
      <c r="F33">
        <v>3</v>
      </c>
    </row>
    <row r="34" spans="1:6" x14ac:dyDescent="0.3">
      <c r="A34" t="str">
        <f t="shared" si="1"/>
        <v>15Gualdemina Sud White</v>
      </c>
      <c r="B34" t="s">
        <v>55</v>
      </c>
      <c r="C34">
        <v>15</v>
      </c>
      <c r="D34">
        <v>321</v>
      </c>
      <c r="E34">
        <v>14</v>
      </c>
      <c r="F34">
        <v>4</v>
      </c>
    </row>
    <row r="35" spans="1:6" x14ac:dyDescent="0.3">
      <c r="A35" t="str">
        <f t="shared" si="1"/>
        <v>16Gualdemina Sud White</v>
      </c>
      <c r="B35" t="s">
        <v>55</v>
      </c>
      <c r="C35">
        <v>16</v>
      </c>
      <c r="D35">
        <v>479</v>
      </c>
      <c r="E35">
        <v>6</v>
      </c>
      <c r="F35">
        <v>5</v>
      </c>
    </row>
    <row r="36" spans="1:6" x14ac:dyDescent="0.3">
      <c r="A36" t="str">
        <f t="shared" si="1"/>
        <v>17Gualdemina Sud White</v>
      </c>
      <c r="B36" t="s">
        <v>55</v>
      </c>
      <c r="C36">
        <v>17</v>
      </c>
      <c r="D36">
        <v>434</v>
      </c>
      <c r="E36">
        <v>18</v>
      </c>
      <c r="F36">
        <v>5</v>
      </c>
    </row>
    <row r="37" spans="1:6" x14ac:dyDescent="0.3">
      <c r="A37" t="str">
        <f t="shared" si="1"/>
        <v>18Gualdemina Sud White</v>
      </c>
      <c r="B37" t="s">
        <v>55</v>
      </c>
      <c r="C37">
        <v>18</v>
      </c>
      <c r="D37">
        <v>345</v>
      </c>
      <c r="E37">
        <v>8</v>
      </c>
      <c r="F37">
        <v>4</v>
      </c>
    </row>
    <row r="38" spans="1:6" x14ac:dyDescent="0.3">
      <c r="A38" t="str">
        <f t="shared" si="1"/>
        <v>1Gualdemina Sud White</v>
      </c>
      <c r="B38" t="s">
        <v>55</v>
      </c>
      <c r="C38">
        <v>1</v>
      </c>
      <c r="D38">
        <v>376</v>
      </c>
      <c r="E38">
        <v>13</v>
      </c>
      <c r="F38">
        <v>4</v>
      </c>
    </row>
    <row r="39" spans="1:6" x14ac:dyDescent="0.3">
      <c r="A39" t="str">
        <f t="shared" si="1"/>
        <v>2Gualdemina Sud White</v>
      </c>
      <c r="B39" t="s">
        <v>55</v>
      </c>
      <c r="C39">
        <v>2</v>
      </c>
      <c r="D39">
        <v>170</v>
      </c>
      <c r="E39">
        <v>7</v>
      </c>
      <c r="F39">
        <v>3</v>
      </c>
    </row>
    <row r="40" spans="1:6" x14ac:dyDescent="0.3">
      <c r="A40" t="str">
        <f t="shared" si="1"/>
        <v>3Gualdemina Sud White</v>
      </c>
      <c r="B40" t="s">
        <v>55</v>
      </c>
      <c r="C40">
        <v>3</v>
      </c>
      <c r="D40">
        <v>346</v>
      </c>
      <c r="E40">
        <v>15</v>
      </c>
      <c r="F40">
        <v>4</v>
      </c>
    </row>
    <row r="41" spans="1:6" x14ac:dyDescent="0.3">
      <c r="A41" t="str">
        <f t="shared" si="1"/>
        <v>4Gualdemina Sud White</v>
      </c>
      <c r="B41" t="s">
        <v>55</v>
      </c>
      <c r="C41">
        <v>4</v>
      </c>
      <c r="D41">
        <v>416</v>
      </c>
      <c r="E41">
        <v>1</v>
      </c>
      <c r="F41">
        <v>4</v>
      </c>
    </row>
    <row r="42" spans="1:6" x14ac:dyDescent="0.3">
      <c r="A42" t="str">
        <f t="shared" si="1"/>
        <v>5Gualdemina Sud White</v>
      </c>
      <c r="B42" t="s">
        <v>55</v>
      </c>
      <c r="C42">
        <v>5</v>
      </c>
      <c r="D42">
        <v>365</v>
      </c>
      <c r="E42">
        <v>11</v>
      </c>
      <c r="F42">
        <v>4</v>
      </c>
    </row>
    <row r="43" spans="1:6" x14ac:dyDescent="0.3">
      <c r="A43" t="str">
        <f t="shared" si="1"/>
        <v>6Gualdemina Sud White</v>
      </c>
      <c r="B43" t="s">
        <v>55</v>
      </c>
      <c r="C43">
        <v>6</v>
      </c>
      <c r="D43">
        <v>526</v>
      </c>
      <c r="E43">
        <v>5</v>
      </c>
      <c r="F43">
        <v>5</v>
      </c>
    </row>
    <row r="44" spans="1:6" x14ac:dyDescent="0.3">
      <c r="A44" t="str">
        <f t="shared" si="1"/>
        <v>7Gualdemina Sud White</v>
      </c>
      <c r="B44" t="s">
        <v>55</v>
      </c>
      <c r="C44">
        <v>7</v>
      </c>
      <c r="D44">
        <v>445</v>
      </c>
      <c r="E44">
        <v>17</v>
      </c>
      <c r="F44">
        <v>5</v>
      </c>
    </row>
    <row r="45" spans="1:6" x14ac:dyDescent="0.3">
      <c r="A45" t="str">
        <f t="shared" si="1"/>
        <v>8Gualdemina Sud White</v>
      </c>
      <c r="B45" t="s">
        <v>55</v>
      </c>
      <c r="C45">
        <v>8</v>
      </c>
      <c r="D45">
        <v>397</v>
      </c>
      <c r="E45">
        <v>3</v>
      </c>
      <c r="F45">
        <v>4</v>
      </c>
    </row>
    <row r="46" spans="1:6" x14ac:dyDescent="0.3">
      <c r="A46" t="str">
        <f t="shared" si="1"/>
        <v>9Gualdemina Sud White</v>
      </c>
      <c r="B46" t="s">
        <v>55</v>
      </c>
      <c r="C46">
        <v>9</v>
      </c>
      <c r="D46">
        <v>180</v>
      </c>
      <c r="E46">
        <v>9</v>
      </c>
      <c r="F46">
        <v>3</v>
      </c>
    </row>
    <row r="47" spans="1:6" x14ac:dyDescent="0.3">
      <c r="A47" t="str">
        <f t="shared" si="1"/>
        <v>10Woold Wit</v>
      </c>
      <c r="B47" t="s">
        <v>63</v>
      </c>
      <c r="C47">
        <v>10</v>
      </c>
      <c r="D47">
        <v>401</v>
      </c>
      <c r="E47">
        <v>1</v>
      </c>
      <c r="F47">
        <v>4</v>
      </c>
    </row>
    <row r="48" spans="1:6" x14ac:dyDescent="0.3">
      <c r="A48" t="str">
        <f>CONCATENATE(C48,B48)</f>
        <v>11Woold Wit</v>
      </c>
      <c r="B48" t="s">
        <v>63</v>
      </c>
      <c r="C48">
        <v>11</v>
      </c>
      <c r="D48">
        <v>322</v>
      </c>
      <c r="E48">
        <v>11</v>
      </c>
      <c r="F48">
        <v>4</v>
      </c>
    </row>
    <row r="49" spans="1:6" x14ac:dyDescent="0.3">
      <c r="A49" t="str">
        <f>CONCATENATE(C49,B49)</f>
        <v>12Woold Wit</v>
      </c>
      <c r="B49" t="s">
        <v>63</v>
      </c>
      <c r="C49">
        <v>12</v>
      </c>
      <c r="D49">
        <v>526</v>
      </c>
      <c r="E49">
        <v>5</v>
      </c>
      <c r="F49">
        <v>5</v>
      </c>
    </row>
    <row r="50" spans="1:6" x14ac:dyDescent="0.3">
      <c r="A50" t="str">
        <f t="shared" si="1"/>
        <v>13Woold Wit</v>
      </c>
      <c r="B50" t="s">
        <v>63</v>
      </c>
      <c r="C50">
        <v>13</v>
      </c>
      <c r="D50">
        <v>368</v>
      </c>
      <c r="E50">
        <v>3</v>
      </c>
      <c r="F50">
        <v>4</v>
      </c>
    </row>
    <row r="51" spans="1:6" x14ac:dyDescent="0.3">
      <c r="A51" t="str">
        <f t="shared" si="1"/>
        <v>14Woold Wit</v>
      </c>
      <c r="B51" t="s">
        <v>63</v>
      </c>
      <c r="C51">
        <v>14</v>
      </c>
      <c r="D51">
        <v>160</v>
      </c>
      <c r="E51">
        <v>15</v>
      </c>
      <c r="F51">
        <v>3</v>
      </c>
    </row>
    <row r="52" spans="1:6" x14ac:dyDescent="0.3">
      <c r="A52" t="str">
        <f t="shared" si="1"/>
        <v>15Woold Wit</v>
      </c>
      <c r="B52" t="s">
        <v>63</v>
      </c>
      <c r="C52">
        <v>15</v>
      </c>
      <c r="D52">
        <v>315</v>
      </c>
      <c r="E52">
        <v>13</v>
      </c>
      <c r="F52">
        <v>4</v>
      </c>
    </row>
    <row r="53" spans="1:6" x14ac:dyDescent="0.3">
      <c r="A53" t="str">
        <f t="shared" si="1"/>
        <v>16Woold Wit</v>
      </c>
      <c r="B53" t="s">
        <v>63</v>
      </c>
      <c r="C53">
        <v>16</v>
      </c>
      <c r="D53">
        <v>295</v>
      </c>
      <c r="E53">
        <v>17</v>
      </c>
      <c r="F53">
        <v>4</v>
      </c>
    </row>
    <row r="54" spans="1:6" x14ac:dyDescent="0.3">
      <c r="A54" t="str">
        <f t="shared" si="1"/>
        <v>17Woold Wit</v>
      </c>
      <c r="B54" t="s">
        <v>63</v>
      </c>
      <c r="C54">
        <v>17</v>
      </c>
      <c r="D54">
        <v>161</v>
      </c>
      <c r="E54">
        <v>9</v>
      </c>
      <c r="F54">
        <v>3</v>
      </c>
    </row>
    <row r="55" spans="1:6" x14ac:dyDescent="0.3">
      <c r="A55" t="str">
        <f t="shared" si="1"/>
        <v>18Woold Wit</v>
      </c>
      <c r="B55" t="s">
        <v>63</v>
      </c>
      <c r="C55">
        <v>18</v>
      </c>
      <c r="D55">
        <v>518</v>
      </c>
      <c r="E55">
        <v>7</v>
      </c>
      <c r="F55">
        <v>5</v>
      </c>
    </row>
    <row r="56" spans="1:6" x14ac:dyDescent="0.3">
      <c r="A56" t="str">
        <f t="shared" si="1"/>
        <v>1Woold Wit</v>
      </c>
      <c r="B56" t="s">
        <v>63</v>
      </c>
      <c r="C56">
        <v>1</v>
      </c>
      <c r="D56">
        <v>332</v>
      </c>
      <c r="E56">
        <v>4</v>
      </c>
      <c r="F56">
        <v>4</v>
      </c>
    </row>
    <row r="57" spans="1:6" x14ac:dyDescent="0.3">
      <c r="A57" t="str">
        <f t="shared" si="1"/>
        <v>2Woold Wit</v>
      </c>
      <c r="B57" t="s">
        <v>63</v>
      </c>
      <c r="C57">
        <v>2</v>
      </c>
      <c r="D57">
        <v>403</v>
      </c>
      <c r="E57">
        <v>2</v>
      </c>
      <c r="F57">
        <v>4</v>
      </c>
    </row>
    <row r="58" spans="1:6" x14ac:dyDescent="0.3">
      <c r="A58" t="str">
        <f t="shared" si="1"/>
        <v>3Woold Wit</v>
      </c>
      <c r="B58" t="s">
        <v>63</v>
      </c>
      <c r="C58">
        <v>3</v>
      </c>
      <c r="D58">
        <v>507</v>
      </c>
      <c r="E58">
        <v>8</v>
      </c>
      <c r="F58">
        <v>5</v>
      </c>
    </row>
    <row r="59" spans="1:6" x14ac:dyDescent="0.3">
      <c r="A59" t="str">
        <f t="shared" si="1"/>
        <v>4Woold Wit</v>
      </c>
      <c r="B59" t="s">
        <v>63</v>
      </c>
      <c r="C59">
        <v>4</v>
      </c>
      <c r="D59">
        <v>385</v>
      </c>
      <c r="E59">
        <v>6</v>
      </c>
      <c r="F59">
        <v>4</v>
      </c>
    </row>
    <row r="60" spans="1:6" x14ac:dyDescent="0.3">
      <c r="A60" t="str">
        <f t="shared" si="1"/>
        <v>5Woold Wit</v>
      </c>
      <c r="B60" t="s">
        <v>63</v>
      </c>
      <c r="C60">
        <v>5</v>
      </c>
      <c r="D60">
        <v>170</v>
      </c>
      <c r="E60">
        <v>16</v>
      </c>
      <c r="F60">
        <v>3</v>
      </c>
    </row>
    <row r="61" spans="1:6" x14ac:dyDescent="0.3">
      <c r="A61" t="str">
        <f t="shared" si="1"/>
        <v>6Woold Wit</v>
      </c>
      <c r="B61" t="s">
        <v>63</v>
      </c>
      <c r="C61">
        <v>6</v>
      </c>
      <c r="D61">
        <v>350</v>
      </c>
      <c r="E61">
        <v>14</v>
      </c>
      <c r="F61">
        <v>4</v>
      </c>
    </row>
    <row r="62" spans="1:6" x14ac:dyDescent="0.3">
      <c r="A62" t="str">
        <f t="shared" si="1"/>
        <v>7Woold Wit</v>
      </c>
      <c r="B62" t="s">
        <v>63</v>
      </c>
      <c r="C62">
        <v>7</v>
      </c>
      <c r="D62">
        <v>375</v>
      </c>
      <c r="E62">
        <v>12</v>
      </c>
      <c r="F62">
        <v>4</v>
      </c>
    </row>
    <row r="63" spans="1:6" x14ac:dyDescent="0.3">
      <c r="A63" t="str">
        <f t="shared" si="1"/>
        <v>8Woold Wit</v>
      </c>
      <c r="B63" t="s">
        <v>63</v>
      </c>
      <c r="C63">
        <v>8</v>
      </c>
      <c r="D63">
        <v>151</v>
      </c>
      <c r="E63">
        <v>18</v>
      </c>
      <c r="F63">
        <v>3</v>
      </c>
    </row>
    <row r="64" spans="1:6" x14ac:dyDescent="0.3">
      <c r="A64" t="str">
        <f t="shared" ref="A64:A99" si="2">CONCATENATE(C64,B64)</f>
        <v>9Woold Wit</v>
      </c>
      <c r="B64" t="s">
        <v>63</v>
      </c>
      <c r="C64">
        <v>9</v>
      </c>
      <c r="D64">
        <v>496</v>
      </c>
      <c r="E64">
        <v>10</v>
      </c>
      <c r="F64">
        <v>5</v>
      </c>
    </row>
    <row r="65" spans="1:6" x14ac:dyDescent="0.3">
      <c r="A65" t="str">
        <f t="shared" si="2"/>
        <v>1NNGC</v>
      </c>
      <c r="B65" t="s">
        <v>87</v>
      </c>
      <c r="C65">
        <v>1</v>
      </c>
      <c r="D65">
        <v>360</v>
      </c>
      <c r="F65">
        <v>4</v>
      </c>
    </row>
    <row r="66" spans="1:6" x14ac:dyDescent="0.3">
      <c r="A66" t="str">
        <f t="shared" si="2"/>
        <v>2NNGC</v>
      </c>
      <c r="B66" t="s">
        <v>87</v>
      </c>
      <c r="C66">
        <v>2</v>
      </c>
      <c r="D66">
        <v>470</v>
      </c>
      <c r="F66">
        <v>5</v>
      </c>
    </row>
    <row r="67" spans="1:6" x14ac:dyDescent="0.3">
      <c r="A67" t="str">
        <f t="shared" si="2"/>
        <v>3NNGC</v>
      </c>
      <c r="B67" t="s">
        <v>87</v>
      </c>
      <c r="C67">
        <v>3</v>
      </c>
      <c r="D67">
        <v>253</v>
      </c>
      <c r="F67">
        <v>4</v>
      </c>
    </row>
    <row r="68" spans="1:6" x14ac:dyDescent="0.3">
      <c r="A68" t="str">
        <f t="shared" si="2"/>
        <v>4NNGC</v>
      </c>
      <c r="B68" t="s">
        <v>87</v>
      </c>
      <c r="C68">
        <v>4</v>
      </c>
      <c r="D68">
        <v>130</v>
      </c>
      <c r="F68">
        <v>3</v>
      </c>
    </row>
    <row r="69" spans="1:6" x14ac:dyDescent="0.3">
      <c r="A69" t="str">
        <f t="shared" si="2"/>
        <v>5NNGC</v>
      </c>
      <c r="B69" t="s">
        <v>87</v>
      </c>
      <c r="C69">
        <v>5</v>
      </c>
      <c r="D69">
        <v>301</v>
      </c>
      <c r="F69">
        <v>4</v>
      </c>
    </row>
    <row r="70" spans="1:6" x14ac:dyDescent="0.3">
      <c r="A70" t="str">
        <f t="shared" si="2"/>
        <v>6NNGC</v>
      </c>
      <c r="B70" t="s">
        <v>87</v>
      </c>
      <c r="C70">
        <v>6</v>
      </c>
      <c r="D70">
        <v>283</v>
      </c>
      <c r="F70">
        <v>4</v>
      </c>
    </row>
    <row r="71" spans="1:6" x14ac:dyDescent="0.3">
      <c r="A71" t="str">
        <f t="shared" si="2"/>
        <v>7NNGC</v>
      </c>
      <c r="B71" t="s">
        <v>87</v>
      </c>
      <c r="C71">
        <v>7</v>
      </c>
      <c r="D71">
        <v>366</v>
      </c>
      <c r="F71">
        <v>4</v>
      </c>
    </row>
    <row r="72" spans="1:6" x14ac:dyDescent="0.3">
      <c r="A72" t="str">
        <f t="shared" si="2"/>
        <v>8NNGC</v>
      </c>
      <c r="B72" t="s">
        <v>87</v>
      </c>
      <c r="C72">
        <v>8</v>
      </c>
      <c r="D72">
        <v>467</v>
      </c>
      <c r="F72">
        <v>5</v>
      </c>
    </row>
    <row r="73" spans="1:6" x14ac:dyDescent="0.3">
      <c r="A73" t="str">
        <f t="shared" si="2"/>
        <v>9NNGC</v>
      </c>
      <c r="B73" t="s">
        <v>87</v>
      </c>
      <c r="C73">
        <v>9</v>
      </c>
      <c r="D73">
        <v>139</v>
      </c>
      <c r="F73">
        <v>3</v>
      </c>
    </row>
    <row r="74" spans="1:6" x14ac:dyDescent="0.3">
      <c r="A74" t="str">
        <f t="shared" si="2"/>
        <v>10NNGC</v>
      </c>
      <c r="B74" t="s">
        <v>87</v>
      </c>
      <c r="C74">
        <v>10</v>
      </c>
      <c r="D74">
        <v>294</v>
      </c>
      <c r="F74">
        <v>4</v>
      </c>
    </row>
    <row r="75" spans="1:6" x14ac:dyDescent="0.3">
      <c r="A75" t="str">
        <f t="shared" si="2"/>
        <v>11NNGC</v>
      </c>
      <c r="B75" t="s">
        <v>87</v>
      </c>
      <c r="C75">
        <v>11</v>
      </c>
      <c r="D75">
        <v>560</v>
      </c>
      <c r="F75">
        <v>5</v>
      </c>
    </row>
    <row r="76" spans="1:6" x14ac:dyDescent="0.3">
      <c r="A76" t="str">
        <f t="shared" si="2"/>
        <v>12NNGC</v>
      </c>
      <c r="B76" t="s">
        <v>87</v>
      </c>
      <c r="C76">
        <v>12</v>
      </c>
      <c r="D76">
        <v>190</v>
      </c>
      <c r="F76">
        <v>3</v>
      </c>
    </row>
    <row r="77" spans="1:6" x14ac:dyDescent="0.3">
      <c r="A77" t="str">
        <f t="shared" si="2"/>
        <v>13NNGC</v>
      </c>
      <c r="B77" t="s">
        <v>87</v>
      </c>
      <c r="C77">
        <v>13</v>
      </c>
      <c r="D77">
        <v>495</v>
      </c>
      <c r="F77">
        <v>5</v>
      </c>
    </row>
    <row r="78" spans="1:6" x14ac:dyDescent="0.3">
      <c r="A78" t="str">
        <f t="shared" si="2"/>
        <v>14NNGC</v>
      </c>
      <c r="B78" t="s">
        <v>87</v>
      </c>
      <c r="C78">
        <v>14</v>
      </c>
      <c r="D78">
        <v>409</v>
      </c>
      <c r="F78">
        <v>4</v>
      </c>
    </row>
    <row r="79" spans="1:6" x14ac:dyDescent="0.3">
      <c r="A79" t="str">
        <f t="shared" si="2"/>
        <v>15NNGC</v>
      </c>
      <c r="B79" t="s">
        <v>87</v>
      </c>
      <c r="C79">
        <v>15</v>
      </c>
      <c r="D79">
        <v>364</v>
      </c>
      <c r="F79">
        <v>4</v>
      </c>
    </row>
    <row r="80" spans="1:6" x14ac:dyDescent="0.3">
      <c r="A80" t="str">
        <f t="shared" si="2"/>
        <v>16NNGC</v>
      </c>
      <c r="B80" t="s">
        <v>87</v>
      </c>
      <c r="C80">
        <v>16</v>
      </c>
      <c r="D80">
        <v>315</v>
      </c>
      <c r="F80">
        <v>4</v>
      </c>
    </row>
    <row r="81" spans="1:6" x14ac:dyDescent="0.3">
      <c r="A81" t="str">
        <f t="shared" si="2"/>
        <v>17NNGC</v>
      </c>
      <c r="B81" t="s">
        <v>87</v>
      </c>
      <c r="C81">
        <v>17</v>
      </c>
      <c r="D81">
        <v>156</v>
      </c>
      <c r="F81">
        <v>3</v>
      </c>
    </row>
    <row r="82" spans="1:6" x14ac:dyDescent="0.3">
      <c r="A82" t="str">
        <f t="shared" si="2"/>
        <v>18NNGC</v>
      </c>
      <c r="B82" t="s">
        <v>87</v>
      </c>
      <c r="C82">
        <v>18</v>
      </c>
      <c r="D82">
        <v>328</v>
      </c>
      <c r="F82">
        <v>4</v>
      </c>
    </row>
    <row r="83" spans="1:6" x14ac:dyDescent="0.3">
      <c r="A83" t="str">
        <f t="shared" si="2"/>
        <v>1Rosendaelsche Wit</v>
      </c>
      <c r="B83" t="s">
        <v>94</v>
      </c>
      <c r="C83">
        <v>1</v>
      </c>
      <c r="D83">
        <v>366</v>
      </c>
      <c r="E83">
        <v>11</v>
      </c>
      <c r="F83">
        <v>4</v>
      </c>
    </row>
    <row r="84" spans="1:6" x14ac:dyDescent="0.3">
      <c r="A84" t="str">
        <f t="shared" si="2"/>
        <v>2Rosendaelsche Wit</v>
      </c>
      <c r="B84" t="s">
        <v>94</v>
      </c>
      <c r="C84">
        <v>2</v>
      </c>
      <c r="D84">
        <v>388</v>
      </c>
      <c r="E84">
        <v>3</v>
      </c>
      <c r="F84">
        <v>4</v>
      </c>
    </row>
    <row r="85" spans="1:6" x14ac:dyDescent="0.3">
      <c r="A85" t="str">
        <f t="shared" si="2"/>
        <v>3Rosendaelsche Wit</v>
      </c>
      <c r="B85" t="s">
        <v>94</v>
      </c>
      <c r="C85">
        <v>3</v>
      </c>
      <c r="D85">
        <v>375</v>
      </c>
      <c r="E85">
        <v>7</v>
      </c>
      <c r="F85">
        <v>4</v>
      </c>
    </row>
    <row r="86" spans="1:6" x14ac:dyDescent="0.3">
      <c r="A86" t="str">
        <f t="shared" si="2"/>
        <v>4Rosendaelsche Wit</v>
      </c>
      <c r="B86" t="s">
        <v>94</v>
      </c>
      <c r="C86">
        <v>4</v>
      </c>
      <c r="D86">
        <v>504</v>
      </c>
      <c r="E86">
        <v>13</v>
      </c>
      <c r="F86">
        <v>5</v>
      </c>
    </row>
    <row r="87" spans="1:6" x14ac:dyDescent="0.3">
      <c r="A87" t="str">
        <f t="shared" si="2"/>
        <v>5Rosendaelsche Wit</v>
      </c>
      <c r="B87" t="s">
        <v>94</v>
      </c>
      <c r="C87">
        <v>5</v>
      </c>
      <c r="D87">
        <v>408</v>
      </c>
      <c r="E87">
        <v>1</v>
      </c>
      <c r="F87">
        <v>4</v>
      </c>
    </row>
    <row r="88" spans="1:6" x14ac:dyDescent="0.3">
      <c r="A88" t="str">
        <f t="shared" si="2"/>
        <v>6Rosendaelsche Wit</v>
      </c>
      <c r="B88" t="s">
        <v>94</v>
      </c>
      <c r="C88">
        <v>6</v>
      </c>
      <c r="D88">
        <v>199</v>
      </c>
      <c r="E88">
        <v>9</v>
      </c>
      <c r="F88">
        <v>3</v>
      </c>
    </row>
    <row r="89" spans="1:6" x14ac:dyDescent="0.3">
      <c r="A89" t="str">
        <f t="shared" si="2"/>
        <v>7Rosendaelsche Wit</v>
      </c>
      <c r="B89" t="s">
        <v>94</v>
      </c>
      <c r="C89">
        <v>7</v>
      </c>
      <c r="D89">
        <v>395</v>
      </c>
      <c r="E89">
        <v>17</v>
      </c>
      <c r="F89">
        <v>4</v>
      </c>
    </row>
    <row r="90" spans="1:6" x14ac:dyDescent="0.3">
      <c r="A90" t="str">
        <f t="shared" si="2"/>
        <v>8Rosendaelsche Wit</v>
      </c>
      <c r="B90" t="s">
        <v>94</v>
      </c>
      <c r="C90">
        <v>8</v>
      </c>
      <c r="D90">
        <v>519</v>
      </c>
      <c r="E90">
        <v>15</v>
      </c>
      <c r="F90">
        <v>5</v>
      </c>
    </row>
    <row r="91" spans="1:6" x14ac:dyDescent="0.3">
      <c r="A91" t="str">
        <f t="shared" si="2"/>
        <v>9Rosendaelsche Wit</v>
      </c>
      <c r="B91" t="s">
        <v>94</v>
      </c>
      <c r="C91">
        <v>9</v>
      </c>
      <c r="D91">
        <v>153</v>
      </c>
      <c r="E91">
        <v>5</v>
      </c>
      <c r="F91">
        <v>3</v>
      </c>
    </row>
    <row r="92" spans="1:6" x14ac:dyDescent="0.3">
      <c r="A92" t="str">
        <f t="shared" si="2"/>
        <v>10Rosendaelsche Wit</v>
      </c>
      <c r="B92" t="s">
        <v>94</v>
      </c>
      <c r="C92">
        <v>10</v>
      </c>
      <c r="D92">
        <v>377</v>
      </c>
      <c r="E92">
        <v>12</v>
      </c>
      <c r="F92">
        <v>4</v>
      </c>
    </row>
    <row r="93" spans="1:6" x14ac:dyDescent="0.3">
      <c r="A93" t="str">
        <f t="shared" si="2"/>
        <v>11Rosendaelsche Wit</v>
      </c>
      <c r="B93" t="s">
        <v>94</v>
      </c>
      <c r="C93">
        <v>11</v>
      </c>
      <c r="D93">
        <v>376</v>
      </c>
      <c r="E93">
        <v>8</v>
      </c>
      <c r="F93">
        <v>4</v>
      </c>
    </row>
    <row r="94" spans="1:6" x14ac:dyDescent="0.3">
      <c r="A94" t="str">
        <f t="shared" si="2"/>
        <v>12Rosendaelsche Wit</v>
      </c>
      <c r="B94" t="s">
        <v>94</v>
      </c>
      <c r="C94">
        <v>12</v>
      </c>
      <c r="D94">
        <v>169</v>
      </c>
      <c r="E94">
        <v>4</v>
      </c>
      <c r="F94">
        <v>3</v>
      </c>
    </row>
    <row r="95" spans="1:6" x14ac:dyDescent="0.3">
      <c r="A95" t="str">
        <f t="shared" si="2"/>
        <v>13Rosendaelsche Wit</v>
      </c>
      <c r="B95" t="s">
        <v>94</v>
      </c>
      <c r="C95">
        <v>13</v>
      </c>
      <c r="D95">
        <v>292</v>
      </c>
      <c r="E95">
        <v>16</v>
      </c>
      <c r="F95">
        <v>4</v>
      </c>
    </row>
    <row r="96" spans="1:6" x14ac:dyDescent="0.3">
      <c r="A96" t="str">
        <f t="shared" si="2"/>
        <v>14Rosendaelsche Wit</v>
      </c>
      <c r="B96" t="s">
        <v>94</v>
      </c>
      <c r="C96">
        <v>14</v>
      </c>
      <c r="D96">
        <v>432</v>
      </c>
      <c r="E96">
        <v>2</v>
      </c>
      <c r="F96">
        <v>4</v>
      </c>
    </row>
    <row r="97" spans="1:6" x14ac:dyDescent="0.3">
      <c r="A97" t="str">
        <f t="shared" si="2"/>
        <v>15Rosendaelsche Wit</v>
      </c>
      <c r="B97" t="s">
        <v>94</v>
      </c>
      <c r="C97">
        <v>15</v>
      </c>
      <c r="D97">
        <v>476</v>
      </c>
      <c r="E97">
        <v>14</v>
      </c>
      <c r="F97">
        <v>5</v>
      </c>
    </row>
    <row r="98" spans="1:6" x14ac:dyDescent="0.3">
      <c r="A98" t="str">
        <f t="shared" si="2"/>
        <v>16Rosendaelsche Wit</v>
      </c>
      <c r="B98" t="s">
        <v>94</v>
      </c>
      <c r="C98">
        <v>16</v>
      </c>
      <c r="D98">
        <v>129</v>
      </c>
      <c r="E98">
        <v>18</v>
      </c>
      <c r="F98">
        <v>3</v>
      </c>
    </row>
    <row r="99" spans="1:6" x14ac:dyDescent="0.3">
      <c r="A99" t="str">
        <f t="shared" si="2"/>
        <v>17Rosendaelsche Wit</v>
      </c>
      <c r="B99" t="s">
        <v>94</v>
      </c>
      <c r="C99">
        <v>17</v>
      </c>
      <c r="D99">
        <v>510</v>
      </c>
      <c r="E99">
        <v>10</v>
      </c>
      <c r="F99">
        <v>5</v>
      </c>
    </row>
    <row r="100" spans="1:6" x14ac:dyDescent="0.3">
      <c r="A100" t="str">
        <f t="shared" ref="A100" si="3">CONCATENATE(C100,B100)</f>
        <v>18Rosendaelsche Wit</v>
      </c>
      <c r="B100" t="s">
        <v>94</v>
      </c>
      <c r="C100">
        <v>18</v>
      </c>
      <c r="D100">
        <v>387</v>
      </c>
      <c r="E100">
        <v>6</v>
      </c>
      <c r="F100">
        <v>4</v>
      </c>
    </row>
  </sheetData>
  <autoFilter ref="A1:F1"/>
  <sortState ref="A2:F64">
    <sortCondition ref="B2:B64"/>
  </sortState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2"/>
  <sheetViews>
    <sheetView workbookViewId="0">
      <selection activeCell="I20" sqref="I20"/>
    </sheetView>
  </sheetViews>
  <sheetFormatPr defaultRowHeight="14.4" x14ac:dyDescent="0.3"/>
  <sheetData>
    <row r="1" spans="1:6" x14ac:dyDescent="0.3">
      <c r="A1" s="7" t="s">
        <v>15</v>
      </c>
    </row>
    <row r="2" spans="1:6" x14ac:dyDescent="0.3">
      <c r="A2" s="7" t="s">
        <v>16</v>
      </c>
    </row>
    <row r="3" spans="1:6" x14ac:dyDescent="0.3">
      <c r="A3" s="8" t="s">
        <v>17</v>
      </c>
    </row>
    <row r="4" spans="1:6" x14ac:dyDescent="0.3">
      <c r="A4" s="7" t="s">
        <v>18</v>
      </c>
    </row>
    <row r="5" spans="1:6" x14ac:dyDescent="0.3">
      <c r="A5" s="7" t="s">
        <v>19</v>
      </c>
    </row>
    <row r="6" spans="1:6" x14ac:dyDescent="0.3">
      <c r="A6" s="7" t="s">
        <v>20</v>
      </c>
    </row>
    <row r="7" spans="1:6" ht="55.2" x14ac:dyDescent="0.3">
      <c r="A7" s="10" t="s">
        <v>21</v>
      </c>
      <c r="B7" s="10" t="s">
        <v>22</v>
      </c>
      <c r="C7" s="10" t="s">
        <v>23</v>
      </c>
      <c r="D7" s="10" t="s">
        <v>24</v>
      </c>
      <c r="E7" s="10" t="s">
        <v>25</v>
      </c>
      <c r="F7" s="10" t="s">
        <v>26</v>
      </c>
    </row>
    <row r="8" spans="1:6" ht="43.2" x14ac:dyDescent="0.3">
      <c r="A8" s="10">
        <v>1</v>
      </c>
      <c r="B8" s="9" t="s">
        <v>27</v>
      </c>
      <c r="C8" s="11">
        <v>4100</v>
      </c>
      <c r="D8" s="9" t="s">
        <v>28</v>
      </c>
      <c r="E8" s="11">
        <v>2825</v>
      </c>
      <c r="F8" s="9" t="s">
        <v>29</v>
      </c>
    </row>
    <row r="9" spans="1:6" ht="43.2" x14ac:dyDescent="0.3">
      <c r="A9" s="10">
        <v>2</v>
      </c>
      <c r="B9" s="9" t="s">
        <v>28</v>
      </c>
      <c r="C9" s="11">
        <v>2825</v>
      </c>
      <c r="D9" s="9" t="s">
        <v>30</v>
      </c>
      <c r="E9" s="11">
        <v>1826</v>
      </c>
      <c r="F9" s="9" t="s">
        <v>31</v>
      </c>
    </row>
    <row r="10" spans="1:6" ht="43.2" x14ac:dyDescent="0.3">
      <c r="A10" s="10">
        <v>3</v>
      </c>
      <c r="B10" s="9" t="s">
        <v>30</v>
      </c>
      <c r="C10" s="11">
        <v>1826</v>
      </c>
      <c r="D10" s="9" t="s">
        <v>6</v>
      </c>
      <c r="E10" s="9">
        <v>0</v>
      </c>
      <c r="F10" s="9" t="s">
        <v>32</v>
      </c>
    </row>
    <row r="11" spans="1:6" ht="28.8" x14ac:dyDescent="0.3">
      <c r="A11" s="10" t="s">
        <v>33</v>
      </c>
      <c r="B11" s="9" t="s">
        <v>27</v>
      </c>
      <c r="C11" s="11">
        <v>4100</v>
      </c>
      <c r="D11" s="9" t="s">
        <v>6</v>
      </c>
      <c r="E11" s="9" t="s">
        <v>34</v>
      </c>
      <c r="F11" s="9" t="s">
        <v>35</v>
      </c>
    </row>
    <row r="12" spans="1:6" ht="28.95" customHeight="1" x14ac:dyDescent="0.3">
      <c r="A12" s="9"/>
      <c r="B12" s="31" t="s">
        <v>36</v>
      </c>
      <c r="C12" s="32"/>
      <c r="D12" s="32"/>
      <c r="E12" s="32"/>
      <c r="F12" s="33"/>
    </row>
  </sheetData>
  <mergeCells count="1">
    <mergeCell ref="B12:F12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N10"/>
  <sheetViews>
    <sheetView workbookViewId="0">
      <selection activeCell="H14" sqref="H14"/>
    </sheetView>
  </sheetViews>
  <sheetFormatPr defaultRowHeight="14.4" x14ac:dyDescent="0.3"/>
  <cols>
    <col min="1" max="1" width="14.88671875" customWidth="1"/>
    <col min="2" max="2" width="22.21875" customWidth="1"/>
    <col min="3" max="3" width="18.6640625" customWidth="1"/>
  </cols>
  <sheetData>
    <row r="1" spans="1:14" ht="15" thickBot="1" x14ac:dyDescent="0.35">
      <c r="A1" t="s">
        <v>49</v>
      </c>
      <c r="B1" t="s">
        <v>64</v>
      </c>
      <c r="C1" t="s">
        <v>109</v>
      </c>
      <c r="F1" s="28" t="s">
        <v>98</v>
      </c>
      <c r="G1" s="29"/>
      <c r="H1" s="29"/>
      <c r="I1" s="29"/>
      <c r="J1" s="29"/>
      <c r="K1" s="30"/>
      <c r="N1" t="s">
        <v>99</v>
      </c>
    </row>
    <row r="2" spans="1:14" ht="15" thickBot="1" x14ac:dyDescent="0.35">
      <c r="A2" t="s">
        <v>48</v>
      </c>
      <c r="B2" t="s">
        <v>54</v>
      </c>
      <c r="C2" t="s">
        <v>110</v>
      </c>
      <c r="F2" s="25" t="s">
        <v>49</v>
      </c>
      <c r="G2" s="25" t="s">
        <v>48</v>
      </c>
      <c r="H2" s="25" t="s">
        <v>50</v>
      </c>
      <c r="I2" s="25" t="s">
        <v>60</v>
      </c>
      <c r="J2" s="25" t="s">
        <v>47</v>
      </c>
      <c r="K2" s="25" t="s">
        <v>68</v>
      </c>
      <c r="N2" t="s">
        <v>100</v>
      </c>
    </row>
    <row r="3" spans="1:14" ht="15" thickBot="1" x14ac:dyDescent="0.35">
      <c r="A3" t="s">
        <v>50</v>
      </c>
      <c r="B3" t="s">
        <v>55</v>
      </c>
      <c r="C3" t="s">
        <v>95</v>
      </c>
      <c r="F3" s="25"/>
      <c r="G3" s="25"/>
      <c r="H3" s="25"/>
      <c r="I3" s="25"/>
      <c r="J3" s="25"/>
      <c r="K3" s="25"/>
      <c r="N3" t="s">
        <v>101</v>
      </c>
    </row>
    <row r="4" spans="1:14" x14ac:dyDescent="0.3">
      <c r="A4" t="s">
        <v>60</v>
      </c>
      <c r="B4" t="s">
        <v>87</v>
      </c>
      <c r="C4" t="s">
        <v>95</v>
      </c>
      <c r="N4" t="s">
        <v>102</v>
      </c>
    </row>
    <row r="5" spans="1:14" x14ac:dyDescent="0.3">
      <c r="A5" t="s">
        <v>47</v>
      </c>
      <c r="B5" t="s">
        <v>94</v>
      </c>
      <c r="N5" t="s">
        <v>103</v>
      </c>
    </row>
    <row r="6" spans="1:14" x14ac:dyDescent="0.3">
      <c r="A6" t="s">
        <v>68</v>
      </c>
      <c r="B6" t="s">
        <v>63</v>
      </c>
      <c r="N6" t="s">
        <v>104</v>
      </c>
    </row>
    <row r="7" spans="1:14" x14ac:dyDescent="0.3">
      <c r="N7" t="s">
        <v>105</v>
      </c>
    </row>
    <row r="8" spans="1:14" x14ac:dyDescent="0.3">
      <c r="N8" t="s">
        <v>106</v>
      </c>
    </row>
    <row r="9" spans="1:14" x14ac:dyDescent="0.3">
      <c r="N9" t="s">
        <v>108</v>
      </c>
    </row>
    <row r="10" spans="1:14" x14ac:dyDescent="0.3">
      <c r="N10" t="s">
        <v>107</v>
      </c>
    </row>
  </sheetData>
  <sortState ref="B1:B6">
    <sortCondition ref="B1"/>
  </sortState>
  <mergeCells count="1">
    <mergeCell ref="F1:K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3</vt:i4>
      </vt:variant>
    </vt:vector>
  </HeadingPairs>
  <TitlesOfParts>
    <vt:vector size="14" baseType="lpstr">
      <vt:lpstr>Add20190621-Test-SetG4</vt:lpstr>
      <vt:lpstr>Add20190621-Test-SetG3</vt:lpstr>
      <vt:lpstr>Add20190621-Test-SetG2</vt:lpstr>
      <vt:lpstr>Add20190621-Test-Set</vt:lpstr>
      <vt:lpstr>Input</vt:lpstr>
      <vt:lpstr>Review</vt:lpstr>
      <vt:lpstr>Source</vt:lpstr>
      <vt:lpstr>PGA</vt:lpstr>
      <vt:lpstr>Courses</vt:lpstr>
      <vt:lpstr>Info</vt:lpstr>
      <vt:lpstr>System</vt:lpstr>
      <vt:lpstr>AnalysisList</vt:lpstr>
      <vt:lpstr>mylist</vt:lpstr>
      <vt:lpstr>SysPlaceOnHole</vt:lpstr>
    </vt:vector>
  </TitlesOfParts>
  <Company>CGI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stephan.van.beeck</dc:creator>
  <cp:lastModifiedBy>stephan.van.beeck</cp:lastModifiedBy>
  <dcterms:created xsi:type="dcterms:W3CDTF">2019-04-22T19:48:07Z</dcterms:created>
  <dcterms:modified xsi:type="dcterms:W3CDTF">2019-06-27T08:15:54Z</dcterms:modified>
</cp:coreProperties>
</file>